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hidePivotFieldList="1" defaultThemeVersion="202300"/>
  <mc:AlternateContent xmlns:mc="http://schemas.openxmlformats.org/markup-compatibility/2006">
    <mc:Choice Requires="x15">
      <x15ac:absPath xmlns:x15ac="http://schemas.microsoft.com/office/spreadsheetml/2010/11/ac" url="D:\Projects\2025\Data Analytics Project\Project_01_Sales Performance Analysis for Retails Salers\"/>
    </mc:Choice>
  </mc:AlternateContent>
  <xr:revisionPtr revIDLastSave="0" documentId="13_ncr:1_{ED187200-D420-4C4A-9AA7-453DFDB84D21}" xr6:coauthVersionLast="47" xr6:coauthVersionMax="47" xr10:uidLastSave="{00000000-0000-0000-0000-000000000000}"/>
  <bookViews>
    <workbookView xWindow="-108" yWindow="-108" windowWidth="23256" windowHeight="12456" tabRatio="706" firstSheet="4" activeTab="10" xr2:uid="{3E2B43E7-8238-4FCE-95AB-C3D0E7781B4D}"/>
  </bookViews>
  <sheets>
    <sheet name="Chart1" sheetId="14" r:id="rId1"/>
    <sheet name="Dashboard" sheetId="10" r:id="rId2"/>
    <sheet name="Total Sales by Product Category" sheetId="5" r:id="rId3"/>
    <sheet name="TOTAL SALES &amp; PROFIT BY CITY" sheetId="6" r:id="rId4"/>
    <sheet name="MONT. SALES BY PRODUCT CATEGOR " sheetId="7" r:id="rId5"/>
    <sheet name="TOP 5 SELLING PRODUCT" sheetId="8" r:id="rId6"/>
    <sheet name="STORE-WISE" sheetId="9" r:id="rId7"/>
    <sheet name="MT1" sheetId="4" r:id="rId8"/>
    <sheet name="Sheet9" sheetId="12" r:id="rId9"/>
    <sheet name="Sheet10" sheetId="13" r:id="rId10"/>
    <sheet name="Sheet1" sheetId="1" r:id="rId11"/>
    <sheet name="Sheet2" sheetId="2" r:id="rId12"/>
  </sheets>
  <definedNames>
    <definedName name="_xlcn.WorksheetConnection_Project_01_SalesPerfomanceAnalysisforaretailChain.xlsmMT1_1" hidden="1">MT1_[]</definedName>
    <definedName name="_xlcn.WorksheetConnection_Project_01_SalesPerfomanceAnalysisforaretailChain.xlsmTable21" hidden="1">Table2[]</definedName>
    <definedName name="ExternalData_1" localSheetId="7" hidden="1">'MT1'!$A$1:$K$649</definedName>
    <definedName name="_xlnm.Print_Area" localSheetId="1">Dashboard!$A$1:$W$35</definedName>
    <definedName name="Slicer_City">#N/A</definedName>
    <definedName name="Slicer_Date__Month">#N/A</definedName>
    <definedName name="Slicer_Product_Category">#N/A</definedName>
  </definedNames>
  <calcPr calcId="191029"/>
  <pivotCaches>
    <pivotCache cacheId="0" r:id="rId13"/>
    <pivotCache cacheId="1" r:id="rId14"/>
    <pivotCache cacheId="55" r:id="rId15"/>
    <pivotCache cacheId="58" r:id="rId16"/>
    <pivotCache cacheId="61" r:id="rId17"/>
    <pivotCache cacheId="64" r:id="rId18"/>
    <pivotCache cacheId="67" r:id="rId19"/>
  </pivotCaches>
  <extLst>
    <ext xmlns:x14="http://schemas.microsoft.com/office/spreadsheetml/2009/9/main" uri="{876F7934-8845-4945-9796-88D515C7AA90}">
      <x14:pivotCaches>
        <pivotCache cacheId="7"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Project_01_Sales Perfomance Analysis for a retail Chain.xlsm!Table2"/>
          <x15:modelTable id="MT1_" name="MT1_" connection="WorksheetConnection_Project_01_Sales Perfomance Analysis for a retail Chain.xlsm!MT1_"/>
        </x15:modelTables>
        <x15:extLst>
          <ext xmlns:x16="http://schemas.microsoft.com/office/spreadsheetml/2014/11/main" uri="{9835A34E-60A6-4A7C-AAB8-D5F71C897F49}">
            <x16:modelTimeGroupings>
              <x16:modelTimeGrouping tableName="MT1_"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4" l="1"/>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A196" i="1" a="1"/>
  <c r="A196" i="1" s="1"/>
  <c r="B196" i="1"/>
  <c r="C196" i="1" a="1"/>
  <c r="C196" i="1" s="1"/>
  <c r="D196" i="1" a="1"/>
  <c r="D196" i="1" s="1"/>
  <c r="E196" i="1" a="1"/>
  <c r="E196" i="1" s="1"/>
  <c r="F196" i="1"/>
  <c r="G196" i="1"/>
  <c r="H196" i="1"/>
  <c r="J196" i="1" s="1"/>
  <c r="A2" i="1" a="1"/>
  <c r="A2" i="1" s="1"/>
  <c r="B2" i="1"/>
  <c r="C2" i="1" a="1"/>
  <c r="C2" i="1" s="1"/>
  <c r="D2" i="1" a="1"/>
  <c r="D2" i="1" s="1"/>
  <c r="E2" i="1" a="1"/>
  <c r="E2" i="1" s="1"/>
  <c r="F2" i="1"/>
  <c r="G2" i="1"/>
  <c r="H2" i="1"/>
  <c r="J2" i="1" s="1"/>
  <c r="A335" i="1" a="1"/>
  <c r="A335" i="1" s="1"/>
  <c r="B335" i="1"/>
  <c r="C335" i="1" a="1"/>
  <c r="C335" i="1" s="1"/>
  <c r="D335" i="1" a="1"/>
  <c r="D335" i="1" s="1"/>
  <c r="E335" i="1" a="1"/>
  <c r="E335" i="1" s="1"/>
  <c r="F335" i="1"/>
  <c r="G335" i="1"/>
  <c r="H335" i="1"/>
  <c r="J335" i="1" s="1"/>
  <c r="A61" i="1" a="1"/>
  <c r="A61" i="1" s="1"/>
  <c r="B61" i="1"/>
  <c r="C61" i="1" a="1"/>
  <c r="C61" i="1" s="1"/>
  <c r="D61" i="1" a="1"/>
  <c r="D61" i="1" s="1"/>
  <c r="E61" i="1" a="1"/>
  <c r="E61" i="1" s="1"/>
  <c r="F61" i="1"/>
  <c r="G61" i="1"/>
  <c r="H61" i="1"/>
  <c r="J61" i="1" s="1"/>
  <c r="A480" i="1" a="1"/>
  <c r="A480" i="1" s="1"/>
  <c r="B480" i="1"/>
  <c r="C480" i="1" a="1"/>
  <c r="C480" i="1" s="1"/>
  <c r="D480" i="1" a="1"/>
  <c r="D480" i="1" s="1"/>
  <c r="E480" i="1" a="1"/>
  <c r="E480" i="1" s="1"/>
  <c r="F480" i="1"/>
  <c r="G480" i="1"/>
  <c r="H480" i="1"/>
  <c r="J480" i="1" s="1"/>
  <c r="A593" i="1" a="1"/>
  <c r="A593" i="1" s="1"/>
  <c r="B593" i="1"/>
  <c r="C593" i="1" a="1"/>
  <c r="C593" i="1" s="1"/>
  <c r="D593" i="1" a="1"/>
  <c r="D593" i="1" s="1"/>
  <c r="E593" i="1" a="1"/>
  <c r="E593" i="1" s="1"/>
  <c r="F593" i="1"/>
  <c r="G593" i="1"/>
  <c r="H593" i="1"/>
  <c r="J593" i="1" s="1"/>
  <c r="A594" i="1" a="1"/>
  <c r="A594" i="1" s="1"/>
  <c r="B594" i="1"/>
  <c r="C594" i="1" a="1"/>
  <c r="C594" i="1" s="1"/>
  <c r="D594" i="1" a="1"/>
  <c r="D594" i="1" s="1"/>
  <c r="E594" i="1" a="1"/>
  <c r="E594" i="1" s="1"/>
  <c r="F594" i="1"/>
  <c r="G594" i="1"/>
  <c r="H594" i="1"/>
  <c r="A62" i="1" a="1"/>
  <c r="A62" i="1" s="1"/>
  <c r="B62" i="1"/>
  <c r="C62" i="1" a="1"/>
  <c r="C62" i="1" s="1"/>
  <c r="D62" i="1" a="1"/>
  <c r="D62" i="1" s="1"/>
  <c r="E62" i="1" a="1"/>
  <c r="E62" i="1" s="1"/>
  <c r="F62" i="1"/>
  <c r="G62" i="1"/>
  <c r="H62" i="1"/>
  <c r="J62" i="1" s="1"/>
  <c r="A126" i="1" a="1"/>
  <c r="A126" i="1" s="1"/>
  <c r="B126" i="1"/>
  <c r="C126" i="1" a="1"/>
  <c r="C126" i="1" s="1"/>
  <c r="D126" i="1" a="1"/>
  <c r="D126" i="1" s="1"/>
  <c r="E126" i="1" a="1"/>
  <c r="E126" i="1" s="1"/>
  <c r="F126" i="1"/>
  <c r="G126" i="1"/>
  <c r="H126" i="1"/>
  <c r="J126" i="1" s="1"/>
  <c r="A400" i="1" a="1"/>
  <c r="A400" i="1" s="1"/>
  <c r="B400" i="1"/>
  <c r="C400" i="1" a="1"/>
  <c r="C400" i="1" s="1"/>
  <c r="D400" i="1" a="1"/>
  <c r="D400" i="1" s="1"/>
  <c r="E400" i="1" a="1"/>
  <c r="E400" i="1" s="1"/>
  <c r="F400" i="1"/>
  <c r="G400" i="1"/>
  <c r="H400" i="1"/>
  <c r="J400" i="1" s="1"/>
  <c r="A537" i="1" a="1"/>
  <c r="A537" i="1" s="1"/>
  <c r="B537" i="1"/>
  <c r="C537" i="1" a="1"/>
  <c r="C537" i="1" s="1"/>
  <c r="D537" i="1" a="1"/>
  <c r="D537" i="1" s="1"/>
  <c r="E537" i="1" a="1"/>
  <c r="E537" i="1" s="1"/>
  <c r="F537" i="1"/>
  <c r="G537" i="1"/>
  <c r="H537" i="1"/>
  <c r="A3" i="1" a="1"/>
  <c r="A3" i="1" s="1"/>
  <c r="B3" i="1"/>
  <c r="C3" i="1" a="1"/>
  <c r="C3" i="1" s="1"/>
  <c r="D3" i="1" a="1"/>
  <c r="D3" i="1" s="1"/>
  <c r="E3" i="1" a="1"/>
  <c r="E3" i="1" s="1"/>
  <c r="F3" i="1"/>
  <c r="G3" i="1"/>
  <c r="H3" i="1"/>
  <c r="A538" i="1" a="1"/>
  <c r="A538" i="1" s="1"/>
  <c r="B538" i="1"/>
  <c r="C538" i="1" a="1"/>
  <c r="C538" i="1" s="1"/>
  <c r="D538" i="1" a="1"/>
  <c r="D538" i="1" s="1"/>
  <c r="E538" i="1" a="1"/>
  <c r="E538" i="1" s="1"/>
  <c r="F538" i="1"/>
  <c r="G538" i="1"/>
  <c r="H538" i="1"/>
  <c r="A481" i="1" a="1"/>
  <c r="A481" i="1" s="1"/>
  <c r="B481" i="1"/>
  <c r="C481" i="1" a="1"/>
  <c r="C481" i="1" s="1"/>
  <c r="D481" i="1" a="1"/>
  <c r="D481" i="1" s="1"/>
  <c r="E481" i="1" a="1"/>
  <c r="E481" i="1" s="1"/>
  <c r="F481" i="1"/>
  <c r="G481" i="1"/>
  <c r="H481" i="1"/>
  <c r="A127" i="1" a="1"/>
  <c r="A127" i="1" s="1"/>
  <c r="B127" i="1"/>
  <c r="C127" i="1" a="1"/>
  <c r="C127" i="1" s="1"/>
  <c r="D127" i="1" a="1"/>
  <c r="D127" i="1" s="1"/>
  <c r="E127" i="1" a="1"/>
  <c r="E127" i="1" s="1"/>
  <c r="F127" i="1"/>
  <c r="G127" i="1"/>
  <c r="H127" i="1"/>
  <c r="A336" i="1" a="1"/>
  <c r="A336" i="1" s="1"/>
  <c r="B336" i="1"/>
  <c r="C336" i="1" a="1"/>
  <c r="C336" i="1" s="1"/>
  <c r="D336" i="1" a="1"/>
  <c r="D336" i="1" s="1"/>
  <c r="E336" i="1" a="1"/>
  <c r="E336" i="1" s="1"/>
  <c r="F336" i="1"/>
  <c r="G336" i="1"/>
  <c r="H336" i="1"/>
  <c r="J336" i="1" s="1"/>
  <c r="A539" i="1" a="1"/>
  <c r="A539" i="1" s="1"/>
  <c r="B539" i="1"/>
  <c r="C539" i="1" a="1"/>
  <c r="C539" i="1" s="1"/>
  <c r="D539" i="1" a="1"/>
  <c r="D539" i="1" s="1"/>
  <c r="E539" i="1" a="1"/>
  <c r="E539" i="1" s="1"/>
  <c r="F539" i="1"/>
  <c r="G539" i="1"/>
  <c r="H539" i="1"/>
  <c r="J539" i="1" s="1"/>
  <c r="A197" i="1" a="1"/>
  <c r="A197" i="1" s="1"/>
  <c r="B197" i="1"/>
  <c r="C197" i="1" a="1"/>
  <c r="C197" i="1" s="1"/>
  <c r="D197" i="1" a="1"/>
  <c r="D197" i="1" s="1"/>
  <c r="E197" i="1" a="1"/>
  <c r="E197" i="1" s="1"/>
  <c r="F197" i="1"/>
  <c r="G197" i="1"/>
  <c r="H197" i="1"/>
  <c r="J197" i="1" s="1"/>
  <c r="A337" i="1" a="1"/>
  <c r="A337" i="1" s="1"/>
  <c r="B337" i="1"/>
  <c r="C337" i="1" a="1"/>
  <c r="C337" i="1" s="1"/>
  <c r="D337" i="1" a="1"/>
  <c r="D337" i="1" s="1"/>
  <c r="E337" i="1" a="1"/>
  <c r="E337" i="1" s="1"/>
  <c r="F337" i="1"/>
  <c r="G337" i="1"/>
  <c r="H337" i="1"/>
  <c r="J337" i="1" s="1"/>
  <c r="A401" i="1" a="1"/>
  <c r="A401" i="1" s="1"/>
  <c r="B401" i="1"/>
  <c r="C401" i="1" a="1"/>
  <c r="C401" i="1" s="1"/>
  <c r="D401" i="1" a="1"/>
  <c r="D401" i="1" s="1"/>
  <c r="E401" i="1" a="1"/>
  <c r="E401" i="1" s="1"/>
  <c r="F401" i="1"/>
  <c r="G401" i="1"/>
  <c r="H401" i="1"/>
  <c r="J401" i="1" s="1"/>
  <c r="A402" i="1" a="1"/>
  <c r="A402" i="1" s="1"/>
  <c r="B402" i="1"/>
  <c r="C402" i="1" a="1"/>
  <c r="C402" i="1" s="1"/>
  <c r="D402" i="1" a="1"/>
  <c r="D402" i="1" s="1"/>
  <c r="E402" i="1" a="1"/>
  <c r="E402" i="1" s="1"/>
  <c r="F402" i="1"/>
  <c r="G402" i="1"/>
  <c r="H402" i="1"/>
  <c r="A595" i="1" a="1"/>
  <c r="A595" i="1" s="1"/>
  <c r="B595" i="1"/>
  <c r="C595" i="1" a="1"/>
  <c r="C595" i="1" s="1"/>
  <c r="D595" i="1" a="1"/>
  <c r="D595" i="1" s="1"/>
  <c r="E595" i="1" a="1"/>
  <c r="E595" i="1" s="1"/>
  <c r="F595" i="1"/>
  <c r="G595" i="1"/>
  <c r="H595" i="1"/>
  <c r="J595" i="1" s="1"/>
  <c r="A267" i="1" a="1"/>
  <c r="A267" i="1" s="1"/>
  <c r="B267" i="1"/>
  <c r="C267" i="1" a="1"/>
  <c r="C267" i="1" s="1"/>
  <c r="D267" i="1" a="1"/>
  <c r="D267" i="1" s="1"/>
  <c r="E267" i="1" a="1"/>
  <c r="E267" i="1" s="1"/>
  <c r="F267" i="1"/>
  <c r="G267" i="1"/>
  <c r="H267" i="1"/>
  <c r="J267" i="1" s="1"/>
  <c r="A128" i="1" a="1"/>
  <c r="A128" i="1" s="1"/>
  <c r="B128" i="1"/>
  <c r="C128" i="1" a="1"/>
  <c r="C128" i="1" s="1"/>
  <c r="D128" i="1" a="1"/>
  <c r="D128" i="1" s="1"/>
  <c r="E128" i="1" a="1"/>
  <c r="E128" i="1" s="1"/>
  <c r="F128" i="1"/>
  <c r="G128" i="1"/>
  <c r="H128" i="1"/>
  <c r="A596" i="1" a="1"/>
  <c r="A596" i="1" s="1"/>
  <c r="B596" i="1"/>
  <c r="C596" i="1" a="1"/>
  <c r="C596" i="1" s="1"/>
  <c r="D596" i="1" a="1"/>
  <c r="D596" i="1" s="1"/>
  <c r="E596" i="1" a="1"/>
  <c r="E596" i="1" s="1"/>
  <c r="F596" i="1"/>
  <c r="G596" i="1"/>
  <c r="H596" i="1"/>
  <c r="A63" i="1" a="1"/>
  <c r="A63" i="1" s="1"/>
  <c r="B63" i="1"/>
  <c r="C63" i="1" a="1"/>
  <c r="C63" i="1" s="1"/>
  <c r="D63" i="1" a="1"/>
  <c r="D63" i="1" s="1"/>
  <c r="E63" i="1" a="1"/>
  <c r="E63" i="1" s="1"/>
  <c r="F63" i="1"/>
  <c r="G63" i="1"/>
  <c r="H63" i="1"/>
  <c r="J63" i="1" s="1"/>
  <c r="A64" i="1" a="1"/>
  <c r="A64" i="1" s="1"/>
  <c r="B64" i="1"/>
  <c r="C64" i="1" a="1"/>
  <c r="C64" i="1" s="1"/>
  <c r="D64" i="1" a="1"/>
  <c r="D64" i="1" s="1"/>
  <c r="E64" i="1" a="1"/>
  <c r="E64" i="1" s="1"/>
  <c r="F64" i="1"/>
  <c r="G64" i="1"/>
  <c r="H64" i="1"/>
  <c r="J64" i="1" s="1"/>
  <c r="A403" i="1" a="1"/>
  <c r="A403" i="1" s="1"/>
  <c r="B403" i="1"/>
  <c r="C403" i="1" a="1"/>
  <c r="C403" i="1" s="1"/>
  <c r="D403" i="1" a="1"/>
  <c r="D403" i="1" s="1"/>
  <c r="E403" i="1" a="1"/>
  <c r="E403" i="1" s="1"/>
  <c r="F403" i="1"/>
  <c r="G403" i="1"/>
  <c r="H403" i="1"/>
  <c r="J403" i="1" s="1"/>
  <c r="A338" i="1" a="1"/>
  <c r="A338" i="1" s="1"/>
  <c r="B338" i="1"/>
  <c r="C338" i="1" a="1"/>
  <c r="C338" i="1" s="1"/>
  <c r="D338" i="1" a="1"/>
  <c r="D338" i="1" s="1"/>
  <c r="E338" i="1" a="1"/>
  <c r="E338" i="1" s="1"/>
  <c r="F338" i="1"/>
  <c r="G338" i="1"/>
  <c r="H338" i="1"/>
  <c r="J338" i="1" s="1"/>
  <c r="A597" i="1" a="1"/>
  <c r="A597" i="1" s="1"/>
  <c r="B597" i="1"/>
  <c r="C597" i="1" a="1"/>
  <c r="C597" i="1" s="1"/>
  <c r="D597" i="1" a="1"/>
  <c r="D597" i="1" s="1"/>
  <c r="E597" i="1" a="1"/>
  <c r="E597" i="1" s="1"/>
  <c r="F597" i="1"/>
  <c r="G597" i="1"/>
  <c r="H597" i="1"/>
  <c r="J597" i="1" s="1"/>
  <c r="A4" i="1" a="1"/>
  <c r="A4" i="1" s="1"/>
  <c r="B4" i="1"/>
  <c r="C4" i="1" a="1"/>
  <c r="C4" i="1" s="1"/>
  <c r="D4" i="1" a="1"/>
  <c r="D4" i="1" s="1"/>
  <c r="E4" i="1" a="1"/>
  <c r="E4" i="1" s="1"/>
  <c r="F4" i="1"/>
  <c r="G4" i="1"/>
  <c r="H4" i="1"/>
  <c r="J4" i="1" s="1"/>
  <c r="A65" i="1" a="1"/>
  <c r="A65" i="1" s="1"/>
  <c r="B65" i="1"/>
  <c r="C65" i="1" a="1"/>
  <c r="C65" i="1" s="1"/>
  <c r="D65" i="1" a="1"/>
  <c r="D65" i="1" s="1"/>
  <c r="E65" i="1" a="1"/>
  <c r="E65" i="1" s="1"/>
  <c r="F65" i="1"/>
  <c r="G65" i="1"/>
  <c r="H65" i="1"/>
  <c r="A268" i="1" a="1"/>
  <c r="A268" i="1" s="1"/>
  <c r="B268" i="1"/>
  <c r="C268" i="1" a="1"/>
  <c r="C268" i="1" s="1"/>
  <c r="D268" i="1" a="1"/>
  <c r="D268" i="1" s="1"/>
  <c r="E268" i="1" a="1"/>
  <c r="E268" i="1" s="1"/>
  <c r="F268" i="1"/>
  <c r="G268" i="1"/>
  <c r="H268" i="1"/>
  <c r="A198" i="1" a="1"/>
  <c r="A198" i="1" s="1"/>
  <c r="B198" i="1"/>
  <c r="C198" i="1" a="1"/>
  <c r="C198" i="1" s="1"/>
  <c r="D198" i="1" a="1"/>
  <c r="D198" i="1" s="1"/>
  <c r="E198" i="1" a="1"/>
  <c r="E198" i="1" s="1"/>
  <c r="F198" i="1"/>
  <c r="G198" i="1"/>
  <c r="H198" i="1"/>
  <c r="J198" i="1" s="1"/>
  <c r="A482" i="1" a="1"/>
  <c r="A482" i="1" s="1"/>
  <c r="B482" i="1"/>
  <c r="C482" i="1" a="1"/>
  <c r="C482" i="1" s="1"/>
  <c r="D482" i="1" a="1"/>
  <c r="D482" i="1" s="1"/>
  <c r="E482" i="1" a="1"/>
  <c r="E482" i="1" s="1"/>
  <c r="F482" i="1"/>
  <c r="G482" i="1"/>
  <c r="H482" i="1"/>
  <c r="J482" i="1" s="1"/>
  <c r="A339" i="1" a="1"/>
  <c r="A339" i="1" s="1"/>
  <c r="B339" i="1"/>
  <c r="C339" i="1" a="1"/>
  <c r="C339" i="1" s="1"/>
  <c r="D339" i="1" a="1"/>
  <c r="D339" i="1" s="1"/>
  <c r="E339" i="1" a="1"/>
  <c r="E339" i="1" s="1"/>
  <c r="F339" i="1"/>
  <c r="G339" i="1"/>
  <c r="H339" i="1"/>
  <c r="J339" i="1" s="1"/>
  <c r="A340" i="1" a="1"/>
  <c r="A340" i="1" s="1"/>
  <c r="B340" i="1"/>
  <c r="C340" i="1" a="1"/>
  <c r="C340" i="1" s="1"/>
  <c r="D340" i="1" a="1"/>
  <c r="D340" i="1" s="1"/>
  <c r="E340" i="1" a="1"/>
  <c r="E340" i="1" s="1"/>
  <c r="F340" i="1"/>
  <c r="G340" i="1"/>
  <c r="H340" i="1"/>
  <c r="J340" i="1" s="1"/>
  <c r="A404" i="1" a="1"/>
  <c r="A404" i="1" s="1"/>
  <c r="B404" i="1"/>
  <c r="C404" i="1" a="1"/>
  <c r="C404" i="1" s="1"/>
  <c r="D404" i="1" a="1"/>
  <c r="D404" i="1" s="1"/>
  <c r="E404" i="1" a="1"/>
  <c r="E404" i="1" s="1"/>
  <c r="F404" i="1"/>
  <c r="G404" i="1"/>
  <c r="H404" i="1"/>
  <c r="J404" i="1" s="1"/>
  <c r="A66" i="1" a="1"/>
  <c r="A66" i="1" s="1"/>
  <c r="B66" i="1"/>
  <c r="C66" i="1" a="1"/>
  <c r="C66" i="1" s="1"/>
  <c r="D66" i="1" a="1"/>
  <c r="D66" i="1" s="1"/>
  <c r="E66" i="1" a="1"/>
  <c r="E66" i="1" s="1"/>
  <c r="F66" i="1"/>
  <c r="G66" i="1"/>
  <c r="H66" i="1"/>
  <c r="J66" i="1" s="1"/>
  <c r="A405" i="1" a="1"/>
  <c r="A405" i="1" s="1"/>
  <c r="B405" i="1"/>
  <c r="C405" i="1" a="1"/>
  <c r="C405" i="1" s="1"/>
  <c r="D405" i="1" a="1"/>
  <c r="D405" i="1" s="1"/>
  <c r="E405" i="1" a="1"/>
  <c r="E405" i="1" s="1"/>
  <c r="F405" i="1"/>
  <c r="G405" i="1"/>
  <c r="H405" i="1"/>
  <c r="J405" i="1" s="1"/>
  <c r="A129" i="1" a="1"/>
  <c r="A129" i="1" s="1"/>
  <c r="B129" i="1"/>
  <c r="C129" i="1" a="1"/>
  <c r="C129" i="1" s="1"/>
  <c r="D129" i="1" a="1"/>
  <c r="D129" i="1" s="1"/>
  <c r="E129" i="1" a="1"/>
  <c r="E129" i="1" s="1"/>
  <c r="F129" i="1"/>
  <c r="G129" i="1"/>
  <c r="H129" i="1"/>
  <c r="J129" i="1" s="1"/>
  <c r="A269" i="1" a="1"/>
  <c r="A269" i="1" s="1"/>
  <c r="B269" i="1"/>
  <c r="C269" i="1" a="1"/>
  <c r="C269" i="1" s="1"/>
  <c r="D269" i="1" a="1"/>
  <c r="D269" i="1" s="1"/>
  <c r="E269" i="1" a="1"/>
  <c r="E269" i="1" s="1"/>
  <c r="F269" i="1"/>
  <c r="G269" i="1"/>
  <c r="H269" i="1"/>
  <c r="J269" i="1" s="1"/>
  <c r="A270" i="1" a="1"/>
  <c r="A270" i="1" s="1"/>
  <c r="B270" i="1"/>
  <c r="C270" i="1" a="1"/>
  <c r="C270" i="1" s="1"/>
  <c r="D270" i="1" a="1"/>
  <c r="D270" i="1" s="1"/>
  <c r="E270" i="1" a="1"/>
  <c r="E270" i="1" s="1"/>
  <c r="F270" i="1"/>
  <c r="G270" i="1"/>
  <c r="H270" i="1"/>
  <c r="J270" i="1" s="1"/>
  <c r="A67" i="1" a="1"/>
  <c r="A67" i="1" s="1"/>
  <c r="B67" i="1"/>
  <c r="C67" i="1" a="1"/>
  <c r="C67" i="1" s="1"/>
  <c r="D67" i="1" a="1"/>
  <c r="D67" i="1" s="1"/>
  <c r="E67" i="1" a="1"/>
  <c r="E67" i="1" s="1"/>
  <c r="F67" i="1"/>
  <c r="G67" i="1"/>
  <c r="H67" i="1"/>
  <c r="J67" i="1" s="1"/>
  <c r="A199" i="1" a="1"/>
  <c r="A199" i="1" s="1"/>
  <c r="B199" i="1"/>
  <c r="C199" i="1" a="1"/>
  <c r="C199" i="1" s="1"/>
  <c r="D199" i="1" a="1"/>
  <c r="D199" i="1" s="1"/>
  <c r="E199" i="1" a="1"/>
  <c r="E199" i="1" s="1"/>
  <c r="F199" i="1"/>
  <c r="G199" i="1"/>
  <c r="H199" i="1"/>
  <c r="J199" i="1" s="1"/>
  <c r="A200" i="1" a="1"/>
  <c r="A200" i="1" s="1"/>
  <c r="B200" i="1"/>
  <c r="C200" i="1" a="1"/>
  <c r="C200" i="1" s="1"/>
  <c r="D200" i="1" a="1"/>
  <c r="D200" i="1" s="1"/>
  <c r="E200" i="1" a="1"/>
  <c r="E200" i="1" s="1"/>
  <c r="F200" i="1"/>
  <c r="G200" i="1"/>
  <c r="H200" i="1"/>
  <c r="J200" i="1" s="1"/>
  <c r="A201" i="1" a="1"/>
  <c r="A201" i="1" s="1"/>
  <c r="B201" i="1"/>
  <c r="C201" i="1" a="1"/>
  <c r="C201" i="1" s="1"/>
  <c r="D201" i="1" a="1"/>
  <c r="D201" i="1" s="1"/>
  <c r="E201" i="1" a="1"/>
  <c r="E201" i="1" s="1"/>
  <c r="F201" i="1"/>
  <c r="G201" i="1"/>
  <c r="H201" i="1"/>
  <c r="J201" i="1" s="1"/>
  <c r="A540" i="1" a="1"/>
  <c r="A540" i="1" s="1"/>
  <c r="B540" i="1"/>
  <c r="C540" i="1" a="1"/>
  <c r="C540" i="1" s="1"/>
  <c r="D540" i="1" a="1"/>
  <c r="D540" i="1" s="1"/>
  <c r="E540" i="1" a="1"/>
  <c r="E540" i="1" s="1"/>
  <c r="F540" i="1"/>
  <c r="G540" i="1"/>
  <c r="H540" i="1"/>
  <c r="J540" i="1" s="1"/>
  <c r="A5" i="1" a="1"/>
  <c r="A5" i="1" s="1"/>
  <c r="B5" i="1"/>
  <c r="C5" i="1" a="1"/>
  <c r="C5" i="1" s="1"/>
  <c r="D5" i="1" a="1"/>
  <c r="D5" i="1" s="1"/>
  <c r="E5" i="1" a="1"/>
  <c r="E5" i="1" s="1"/>
  <c r="F5" i="1"/>
  <c r="G5" i="1"/>
  <c r="H5" i="1"/>
  <c r="A341" i="1" a="1"/>
  <c r="A341" i="1" s="1"/>
  <c r="B341" i="1"/>
  <c r="C341" i="1" a="1"/>
  <c r="C341" i="1" s="1"/>
  <c r="D341" i="1" a="1"/>
  <c r="D341" i="1" s="1"/>
  <c r="E341" i="1" a="1"/>
  <c r="E341" i="1" s="1"/>
  <c r="F341" i="1"/>
  <c r="G341" i="1"/>
  <c r="H341" i="1"/>
  <c r="J341" i="1" s="1"/>
  <c r="A130" i="1" a="1"/>
  <c r="A130" i="1" s="1"/>
  <c r="B130" i="1"/>
  <c r="C130" i="1" a="1"/>
  <c r="C130" i="1" s="1"/>
  <c r="D130" i="1" a="1"/>
  <c r="D130" i="1" s="1"/>
  <c r="E130" i="1" a="1"/>
  <c r="E130" i="1" s="1"/>
  <c r="F130" i="1"/>
  <c r="G130" i="1"/>
  <c r="H130" i="1"/>
  <c r="J130" i="1" s="1"/>
  <c r="A406" i="1" a="1"/>
  <c r="A406" i="1" s="1"/>
  <c r="B406" i="1"/>
  <c r="C406" i="1" a="1"/>
  <c r="C406" i="1" s="1"/>
  <c r="D406" i="1" a="1"/>
  <c r="D406" i="1" s="1"/>
  <c r="E406" i="1" a="1"/>
  <c r="E406" i="1" s="1"/>
  <c r="F406" i="1"/>
  <c r="G406" i="1"/>
  <c r="H406" i="1"/>
  <c r="J406" i="1" s="1"/>
  <c r="A6" i="1" a="1"/>
  <c r="A6" i="1" s="1"/>
  <c r="B6" i="1"/>
  <c r="C6" i="1" a="1"/>
  <c r="C6" i="1" s="1"/>
  <c r="D6" i="1" a="1"/>
  <c r="D6" i="1" s="1"/>
  <c r="E6" i="1" a="1"/>
  <c r="E6" i="1" s="1"/>
  <c r="F6" i="1"/>
  <c r="G6" i="1"/>
  <c r="H6" i="1"/>
  <c r="J6" i="1" s="1"/>
  <c r="A342" i="1" a="1"/>
  <c r="A342" i="1" s="1"/>
  <c r="B342" i="1"/>
  <c r="C342" i="1" a="1"/>
  <c r="C342" i="1" s="1"/>
  <c r="D342" i="1" a="1"/>
  <c r="D342" i="1" s="1"/>
  <c r="E342" i="1" a="1"/>
  <c r="E342" i="1" s="1"/>
  <c r="F342" i="1"/>
  <c r="G342" i="1"/>
  <c r="H342" i="1"/>
  <c r="J342" i="1" s="1"/>
  <c r="A202" i="1" a="1"/>
  <c r="A202" i="1" s="1"/>
  <c r="B202" i="1"/>
  <c r="C202" i="1" a="1"/>
  <c r="C202" i="1" s="1"/>
  <c r="D202" i="1" a="1"/>
  <c r="D202" i="1" s="1"/>
  <c r="E202" i="1" a="1"/>
  <c r="E202" i="1" s="1"/>
  <c r="F202" i="1"/>
  <c r="G202" i="1"/>
  <c r="H202" i="1"/>
  <c r="A483" i="1" a="1"/>
  <c r="A483" i="1" s="1"/>
  <c r="B483" i="1"/>
  <c r="C483" i="1" a="1"/>
  <c r="C483" i="1" s="1"/>
  <c r="D483" i="1" a="1"/>
  <c r="D483" i="1" s="1"/>
  <c r="E483" i="1" a="1"/>
  <c r="E483" i="1" s="1"/>
  <c r="F483" i="1"/>
  <c r="G483" i="1"/>
  <c r="H483" i="1"/>
  <c r="A271" i="1" a="1"/>
  <c r="A271" i="1" s="1"/>
  <c r="B271" i="1"/>
  <c r="C271" i="1" a="1"/>
  <c r="C271" i="1" s="1"/>
  <c r="D271" i="1" a="1"/>
  <c r="D271" i="1" s="1"/>
  <c r="E271" i="1" a="1"/>
  <c r="E271" i="1" s="1"/>
  <c r="F271" i="1"/>
  <c r="G271" i="1"/>
  <c r="H271" i="1"/>
  <c r="J271" i="1" s="1"/>
  <c r="A343" i="1" a="1"/>
  <c r="A343" i="1" s="1"/>
  <c r="B343" i="1"/>
  <c r="C343" i="1" a="1"/>
  <c r="C343" i="1" s="1"/>
  <c r="D343" i="1" a="1"/>
  <c r="D343" i="1" s="1"/>
  <c r="E343" i="1" a="1"/>
  <c r="E343" i="1" s="1"/>
  <c r="F343" i="1"/>
  <c r="G343" i="1"/>
  <c r="H343" i="1"/>
  <c r="J343" i="1" s="1"/>
  <c r="A7" i="1" a="1"/>
  <c r="A7" i="1" s="1"/>
  <c r="B7" i="1"/>
  <c r="C7" i="1" a="1"/>
  <c r="C7" i="1" s="1"/>
  <c r="D7" i="1" a="1"/>
  <c r="D7" i="1" s="1"/>
  <c r="E7" i="1" a="1"/>
  <c r="E7" i="1" s="1"/>
  <c r="F7" i="1"/>
  <c r="G7" i="1"/>
  <c r="H7" i="1"/>
  <c r="J7" i="1" s="1"/>
  <c r="A8" i="1" a="1"/>
  <c r="A8" i="1" s="1"/>
  <c r="B8" i="1"/>
  <c r="C8" i="1" a="1"/>
  <c r="C8" i="1" s="1"/>
  <c r="D8" i="1" a="1"/>
  <c r="D8" i="1" s="1"/>
  <c r="E8" i="1" a="1"/>
  <c r="E8" i="1" s="1"/>
  <c r="F8" i="1"/>
  <c r="G8" i="1"/>
  <c r="H8" i="1"/>
  <c r="J8" i="1" s="1"/>
  <c r="A68" i="1" a="1"/>
  <c r="A68" i="1" s="1"/>
  <c r="B68" i="1"/>
  <c r="C68" i="1" a="1"/>
  <c r="C68" i="1" s="1"/>
  <c r="D68" i="1" a="1"/>
  <c r="D68" i="1" s="1"/>
  <c r="E68" i="1" a="1"/>
  <c r="E68" i="1" s="1"/>
  <c r="F68" i="1"/>
  <c r="G68" i="1"/>
  <c r="H68" i="1"/>
  <c r="J68" i="1" s="1"/>
  <c r="A541" i="1" a="1"/>
  <c r="A541" i="1" s="1"/>
  <c r="B541" i="1"/>
  <c r="C541" i="1" a="1"/>
  <c r="C541" i="1" s="1"/>
  <c r="D541" i="1" a="1"/>
  <c r="D541" i="1" s="1"/>
  <c r="E541" i="1" a="1"/>
  <c r="E541" i="1" s="1"/>
  <c r="F541" i="1"/>
  <c r="G541" i="1"/>
  <c r="H541" i="1"/>
  <c r="J541" i="1" s="1"/>
  <c r="A69" i="1" a="1"/>
  <c r="A69" i="1" s="1"/>
  <c r="B69" i="1"/>
  <c r="C69" i="1" a="1"/>
  <c r="C69" i="1" s="1"/>
  <c r="D69" i="1" a="1"/>
  <c r="D69" i="1" s="1"/>
  <c r="E69" i="1" a="1"/>
  <c r="E69" i="1" s="1"/>
  <c r="F69" i="1"/>
  <c r="G69" i="1"/>
  <c r="H69" i="1"/>
  <c r="J69" i="1" s="1"/>
  <c r="A407" i="1" a="1"/>
  <c r="A407" i="1" s="1"/>
  <c r="B407" i="1"/>
  <c r="C407" i="1" a="1"/>
  <c r="C407" i="1" s="1"/>
  <c r="D407" i="1" a="1"/>
  <c r="D407" i="1" s="1"/>
  <c r="E407" i="1" a="1"/>
  <c r="E407" i="1" s="1"/>
  <c r="F407" i="1"/>
  <c r="G407" i="1"/>
  <c r="H407" i="1"/>
  <c r="J407" i="1" s="1"/>
  <c r="A408" i="1" a="1"/>
  <c r="A408" i="1" s="1"/>
  <c r="B408" i="1"/>
  <c r="C408" i="1" a="1"/>
  <c r="C408" i="1" s="1"/>
  <c r="D408" i="1" a="1"/>
  <c r="D408" i="1" s="1"/>
  <c r="E408" i="1" a="1"/>
  <c r="E408" i="1" s="1"/>
  <c r="F408" i="1"/>
  <c r="G408" i="1"/>
  <c r="H408" i="1"/>
  <c r="A131" i="1" a="1"/>
  <c r="A131" i="1" s="1"/>
  <c r="B131" i="1"/>
  <c r="C131" i="1" a="1"/>
  <c r="C131" i="1" s="1"/>
  <c r="D131" i="1" a="1"/>
  <c r="D131" i="1" s="1"/>
  <c r="E131" i="1" a="1"/>
  <c r="E131" i="1" s="1"/>
  <c r="F131" i="1"/>
  <c r="G131" i="1"/>
  <c r="H131" i="1"/>
  <c r="J131" i="1" s="1"/>
  <c r="A132" i="1" a="1"/>
  <c r="A132" i="1" s="1"/>
  <c r="B132" i="1"/>
  <c r="C132" i="1" a="1"/>
  <c r="C132" i="1" s="1"/>
  <c r="D132" i="1" a="1"/>
  <c r="D132" i="1" s="1"/>
  <c r="E132" i="1" a="1"/>
  <c r="E132" i="1" s="1"/>
  <c r="F132" i="1"/>
  <c r="G132" i="1"/>
  <c r="H132" i="1"/>
  <c r="J132" i="1" s="1"/>
  <c r="A542" i="1" a="1"/>
  <c r="A542" i="1" s="1"/>
  <c r="B542" i="1"/>
  <c r="C542" i="1" a="1"/>
  <c r="C542" i="1" s="1"/>
  <c r="D542" i="1" a="1"/>
  <c r="D542" i="1" s="1"/>
  <c r="E542" i="1" a="1"/>
  <c r="E542" i="1" s="1"/>
  <c r="F542" i="1"/>
  <c r="G542" i="1"/>
  <c r="H542" i="1"/>
  <c r="J542" i="1" s="1"/>
  <c r="A9" i="1" a="1"/>
  <c r="A9" i="1" s="1"/>
  <c r="B9" i="1"/>
  <c r="C9" i="1" a="1"/>
  <c r="C9" i="1" s="1"/>
  <c r="D9" i="1" a="1"/>
  <c r="D9" i="1" s="1"/>
  <c r="E9" i="1" a="1"/>
  <c r="E9" i="1" s="1"/>
  <c r="F9" i="1"/>
  <c r="G9" i="1"/>
  <c r="H9" i="1"/>
  <c r="A272" i="1" a="1"/>
  <c r="A272" i="1" s="1"/>
  <c r="B272" i="1"/>
  <c r="C272" i="1" a="1"/>
  <c r="C272" i="1" s="1"/>
  <c r="D272" i="1" a="1"/>
  <c r="D272" i="1" s="1"/>
  <c r="E272" i="1" a="1"/>
  <c r="E272" i="1" s="1"/>
  <c r="F272" i="1"/>
  <c r="G272" i="1"/>
  <c r="H272" i="1"/>
  <c r="J272" i="1" s="1"/>
  <c r="A598" i="1" a="1"/>
  <c r="A598" i="1" s="1"/>
  <c r="B598" i="1"/>
  <c r="C598" i="1" a="1"/>
  <c r="C598" i="1" s="1"/>
  <c r="D598" i="1" a="1"/>
  <c r="D598" i="1" s="1"/>
  <c r="E598" i="1" a="1"/>
  <c r="E598" i="1" s="1"/>
  <c r="F598" i="1"/>
  <c r="G598" i="1"/>
  <c r="H598" i="1"/>
  <c r="J598" i="1" s="1"/>
  <c r="A203" i="1" a="1"/>
  <c r="A203" i="1" s="1"/>
  <c r="B203" i="1"/>
  <c r="C203" i="1" a="1"/>
  <c r="C203" i="1" s="1"/>
  <c r="D203" i="1" a="1"/>
  <c r="D203" i="1" s="1"/>
  <c r="E203" i="1" a="1"/>
  <c r="E203" i="1" s="1"/>
  <c r="F203" i="1"/>
  <c r="G203" i="1"/>
  <c r="H203" i="1"/>
  <c r="J203" i="1" s="1"/>
  <c r="A409" i="1" a="1"/>
  <c r="A409" i="1" s="1"/>
  <c r="B409" i="1"/>
  <c r="C409" i="1" a="1"/>
  <c r="C409" i="1" s="1"/>
  <c r="D409" i="1" a="1"/>
  <c r="D409" i="1" s="1"/>
  <c r="E409" i="1" a="1"/>
  <c r="E409" i="1" s="1"/>
  <c r="F409" i="1"/>
  <c r="G409" i="1"/>
  <c r="H409" i="1"/>
  <c r="J409" i="1" s="1"/>
  <c r="A10" i="1" a="1"/>
  <c r="A10" i="1" s="1"/>
  <c r="B10" i="1"/>
  <c r="C10" i="1" a="1"/>
  <c r="C10" i="1" s="1"/>
  <c r="D10" i="1" a="1"/>
  <c r="D10" i="1" s="1"/>
  <c r="E10" i="1" a="1"/>
  <c r="E10" i="1" s="1"/>
  <c r="F10" i="1"/>
  <c r="G10" i="1"/>
  <c r="H10" i="1"/>
  <c r="J10" i="1" s="1"/>
  <c r="A344" i="1" a="1"/>
  <c r="A344" i="1" s="1"/>
  <c r="B344" i="1"/>
  <c r="C344" i="1" a="1"/>
  <c r="C344" i="1" s="1"/>
  <c r="D344" i="1" a="1"/>
  <c r="D344" i="1" s="1"/>
  <c r="E344" i="1" a="1"/>
  <c r="E344" i="1" s="1"/>
  <c r="F344" i="1"/>
  <c r="G344" i="1"/>
  <c r="H344" i="1"/>
  <c r="J344" i="1" s="1"/>
  <c r="A70" i="1" a="1"/>
  <c r="A70" i="1" s="1"/>
  <c r="B70" i="1"/>
  <c r="C70" i="1" a="1"/>
  <c r="C70" i="1" s="1"/>
  <c r="D70" i="1" a="1"/>
  <c r="D70" i="1" s="1"/>
  <c r="E70" i="1" a="1"/>
  <c r="E70" i="1" s="1"/>
  <c r="F70" i="1"/>
  <c r="G70" i="1"/>
  <c r="H70" i="1"/>
  <c r="J70" i="1" s="1"/>
  <c r="A345" i="1" a="1"/>
  <c r="A345" i="1"/>
  <c r="B345" i="1"/>
  <c r="C345" i="1" a="1"/>
  <c r="C345" i="1" s="1"/>
  <c r="D345" i="1" a="1"/>
  <c r="D345" i="1" s="1"/>
  <c r="E345" i="1" a="1"/>
  <c r="E345" i="1" s="1"/>
  <c r="F345" i="1"/>
  <c r="G345" i="1"/>
  <c r="H345" i="1"/>
  <c r="J345" i="1" s="1"/>
  <c r="A599" i="1" a="1"/>
  <c r="A599" i="1" s="1"/>
  <c r="B599" i="1"/>
  <c r="C599" i="1" a="1"/>
  <c r="C599" i="1" s="1"/>
  <c r="D599" i="1" a="1"/>
  <c r="D599" i="1" s="1"/>
  <c r="E599" i="1" a="1"/>
  <c r="E599" i="1" s="1"/>
  <c r="F599" i="1"/>
  <c r="G599" i="1"/>
  <c r="H599" i="1"/>
  <c r="A410" i="1" a="1"/>
  <c r="A410" i="1" s="1"/>
  <c r="B410" i="1"/>
  <c r="C410" i="1" a="1"/>
  <c r="C410" i="1" s="1"/>
  <c r="D410" i="1" a="1"/>
  <c r="D410" i="1" s="1"/>
  <c r="E410" i="1" a="1"/>
  <c r="E410" i="1" s="1"/>
  <c r="F410" i="1"/>
  <c r="G410" i="1"/>
  <c r="H410" i="1"/>
  <c r="J410" i="1" s="1"/>
  <c r="A71" i="1" a="1"/>
  <c r="A71" i="1" s="1"/>
  <c r="B71" i="1"/>
  <c r="C71" i="1" a="1"/>
  <c r="C71" i="1" s="1"/>
  <c r="D71" i="1" a="1"/>
  <c r="D71" i="1" s="1"/>
  <c r="E71" i="1" a="1"/>
  <c r="E71" i="1" s="1"/>
  <c r="F71" i="1"/>
  <c r="G71" i="1"/>
  <c r="H71" i="1"/>
  <c r="J71" i="1" s="1"/>
  <c r="A411" i="1" a="1"/>
  <c r="A411" i="1" s="1"/>
  <c r="B411" i="1"/>
  <c r="C411" i="1" a="1"/>
  <c r="C411" i="1" s="1"/>
  <c r="D411" i="1" a="1"/>
  <c r="D411" i="1" s="1"/>
  <c r="E411" i="1" a="1"/>
  <c r="E411" i="1" s="1"/>
  <c r="F411" i="1"/>
  <c r="G411" i="1"/>
  <c r="H411" i="1"/>
  <c r="J411" i="1" s="1"/>
  <c r="A11" i="1" a="1"/>
  <c r="A11" i="1" s="1"/>
  <c r="B11" i="1"/>
  <c r="C11" i="1" a="1"/>
  <c r="C11" i="1" s="1"/>
  <c r="D11" i="1" a="1"/>
  <c r="D11" i="1" s="1"/>
  <c r="E11" i="1" a="1"/>
  <c r="E11" i="1" s="1"/>
  <c r="F11" i="1"/>
  <c r="G11" i="1"/>
  <c r="H11" i="1"/>
  <c r="A484" i="1" a="1"/>
  <c r="A484" i="1" s="1"/>
  <c r="B484" i="1"/>
  <c r="C484" i="1" a="1"/>
  <c r="C484" i="1" s="1"/>
  <c r="D484" i="1" a="1"/>
  <c r="D484" i="1" s="1"/>
  <c r="E484" i="1" a="1"/>
  <c r="E484" i="1" s="1"/>
  <c r="F484" i="1"/>
  <c r="G484" i="1"/>
  <c r="H484" i="1"/>
  <c r="J484" i="1" s="1"/>
  <c r="A412" i="1" a="1"/>
  <c r="A412" i="1" s="1"/>
  <c r="B412" i="1"/>
  <c r="C412" i="1" a="1"/>
  <c r="C412" i="1" s="1"/>
  <c r="D412" i="1" a="1"/>
  <c r="D412" i="1" s="1"/>
  <c r="E412" i="1" a="1"/>
  <c r="E412" i="1" s="1"/>
  <c r="F412" i="1"/>
  <c r="G412" i="1"/>
  <c r="H412" i="1"/>
  <c r="A133" i="1" a="1"/>
  <c r="A133" i="1" s="1"/>
  <c r="B133" i="1"/>
  <c r="C133" i="1" a="1"/>
  <c r="C133" i="1" s="1"/>
  <c r="D133" i="1" a="1"/>
  <c r="D133" i="1" s="1"/>
  <c r="E133" i="1" a="1"/>
  <c r="E133" i="1" s="1"/>
  <c r="F133" i="1"/>
  <c r="G133" i="1"/>
  <c r="H133" i="1"/>
  <c r="A485" i="1" a="1"/>
  <c r="A485" i="1" s="1"/>
  <c r="B485" i="1"/>
  <c r="C485" i="1" a="1"/>
  <c r="C485" i="1" s="1"/>
  <c r="D485" i="1" a="1"/>
  <c r="D485" i="1" s="1"/>
  <c r="E485" i="1" a="1"/>
  <c r="E485" i="1" s="1"/>
  <c r="F485" i="1"/>
  <c r="G485" i="1"/>
  <c r="H485" i="1"/>
  <c r="J485" i="1" s="1"/>
  <c r="A413" i="1" a="1"/>
  <c r="A413" i="1" s="1"/>
  <c r="B413" i="1"/>
  <c r="C413" i="1" a="1"/>
  <c r="C413" i="1" s="1"/>
  <c r="D413" i="1" a="1"/>
  <c r="D413" i="1" s="1"/>
  <c r="E413" i="1" a="1"/>
  <c r="E413" i="1" s="1"/>
  <c r="F413" i="1"/>
  <c r="G413" i="1"/>
  <c r="H413" i="1"/>
  <c r="J413" i="1" s="1"/>
  <c r="A134" i="1" a="1"/>
  <c r="A134" i="1" s="1"/>
  <c r="B134" i="1"/>
  <c r="C134" i="1" a="1"/>
  <c r="C134" i="1" s="1"/>
  <c r="D134" i="1" a="1"/>
  <c r="D134" i="1" s="1"/>
  <c r="E134" i="1" a="1"/>
  <c r="E134" i="1" s="1"/>
  <c r="F134" i="1"/>
  <c r="G134" i="1"/>
  <c r="H134" i="1"/>
  <c r="J134" i="1" s="1"/>
  <c r="A414" i="1" a="1"/>
  <c r="A414" i="1" s="1"/>
  <c r="B414" i="1"/>
  <c r="C414" i="1" a="1"/>
  <c r="C414" i="1" s="1"/>
  <c r="D414" i="1" a="1"/>
  <c r="D414" i="1" s="1"/>
  <c r="E414" i="1" a="1"/>
  <c r="E414" i="1" s="1"/>
  <c r="F414" i="1"/>
  <c r="G414" i="1"/>
  <c r="H414" i="1"/>
  <c r="J414" i="1" s="1"/>
  <c r="A486" i="1" a="1"/>
  <c r="A486" i="1" s="1"/>
  <c r="B486" i="1"/>
  <c r="C486" i="1" a="1"/>
  <c r="C486" i="1" s="1"/>
  <c r="D486" i="1" a="1"/>
  <c r="D486" i="1" s="1"/>
  <c r="E486" i="1" a="1"/>
  <c r="E486" i="1" s="1"/>
  <c r="F486" i="1"/>
  <c r="G486" i="1"/>
  <c r="H486" i="1"/>
  <c r="J486" i="1" s="1"/>
  <c r="A543" i="1" a="1"/>
  <c r="A543" i="1" s="1"/>
  <c r="B543" i="1"/>
  <c r="C543" i="1" a="1"/>
  <c r="C543" i="1" s="1"/>
  <c r="D543" i="1" a="1"/>
  <c r="D543" i="1" s="1"/>
  <c r="E543" i="1" a="1"/>
  <c r="E543" i="1" s="1"/>
  <c r="F543" i="1"/>
  <c r="G543" i="1"/>
  <c r="H543" i="1"/>
  <c r="A273" i="1" a="1"/>
  <c r="A273" i="1" s="1"/>
  <c r="B273" i="1"/>
  <c r="C273" i="1" a="1"/>
  <c r="C273" i="1" s="1"/>
  <c r="D273" i="1" a="1"/>
  <c r="D273" i="1" s="1"/>
  <c r="E273" i="1" a="1"/>
  <c r="E273" i="1" s="1"/>
  <c r="F273" i="1"/>
  <c r="G273" i="1"/>
  <c r="H273" i="1"/>
  <c r="J273" i="1" s="1"/>
  <c r="A346" i="1" a="1"/>
  <c r="A346" i="1" s="1"/>
  <c r="B346" i="1"/>
  <c r="C346" i="1" a="1"/>
  <c r="C346" i="1" s="1"/>
  <c r="D346" i="1" a="1"/>
  <c r="D346" i="1" s="1"/>
  <c r="E346" i="1" a="1"/>
  <c r="E346" i="1" s="1"/>
  <c r="F346" i="1"/>
  <c r="G346" i="1"/>
  <c r="H346" i="1"/>
  <c r="J346" i="1" s="1"/>
  <c r="A274" i="1" a="1"/>
  <c r="A274" i="1" s="1"/>
  <c r="B274" i="1"/>
  <c r="C274" i="1" a="1"/>
  <c r="C274" i="1" s="1"/>
  <c r="D274" i="1" a="1"/>
  <c r="D274" i="1" s="1"/>
  <c r="E274" i="1" a="1"/>
  <c r="E274" i="1" s="1"/>
  <c r="F274" i="1"/>
  <c r="G274" i="1"/>
  <c r="H274" i="1"/>
  <c r="J274" i="1" s="1"/>
  <c r="A204" i="1" a="1"/>
  <c r="A204" i="1" s="1"/>
  <c r="B204" i="1"/>
  <c r="C204" i="1" a="1"/>
  <c r="C204" i="1" s="1"/>
  <c r="D204" i="1" a="1"/>
  <c r="D204" i="1" s="1"/>
  <c r="E204" i="1" a="1"/>
  <c r="E204" i="1" s="1"/>
  <c r="F204" i="1"/>
  <c r="G204" i="1"/>
  <c r="H204" i="1"/>
  <c r="J204" i="1" s="1"/>
  <c r="A72" i="1" a="1"/>
  <c r="A72" i="1" s="1"/>
  <c r="B72" i="1"/>
  <c r="C72" i="1" a="1"/>
  <c r="C72" i="1" s="1"/>
  <c r="D72" i="1" a="1"/>
  <c r="D72" i="1" s="1"/>
  <c r="E72" i="1" a="1"/>
  <c r="E72" i="1" s="1"/>
  <c r="F72" i="1"/>
  <c r="G72" i="1"/>
  <c r="H72" i="1"/>
  <c r="A205" i="1" a="1"/>
  <c r="A205" i="1" s="1"/>
  <c r="B205" i="1"/>
  <c r="C205" i="1" a="1"/>
  <c r="C205" i="1" s="1"/>
  <c r="D205" i="1" a="1"/>
  <c r="D205" i="1" s="1"/>
  <c r="E205" i="1" a="1"/>
  <c r="E205" i="1" s="1"/>
  <c r="F205" i="1"/>
  <c r="G205" i="1"/>
  <c r="H205" i="1"/>
  <c r="A600" i="1" a="1"/>
  <c r="A600" i="1" s="1"/>
  <c r="B600" i="1"/>
  <c r="C600" i="1" a="1"/>
  <c r="C600" i="1" s="1"/>
  <c r="D600" i="1" a="1"/>
  <c r="D600" i="1" s="1"/>
  <c r="E600" i="1" a="1"/>
  <c r="E600" i="1" s="1"/>
  <c r="F600" i="1"/>
  <c r="G600" i="1"/>
  <c r="H600" i="1"/>
  <c r="J600" i="1" s="1"/>
  <c r="A347" i="1" a="1"/>
  <c r="A347" i="1" s="1"/>
  <c r="B347" i="1"/>
  <c r="C347" i="1" a="1"/>
  <c r="C347" i="1" s="1"/>
  <c r="D347" i="1" a="1"/>
  <c r="D347" i="1" s="1"/>
  <c r="E347" i="1" a="1"/>
  <c r="E347" i="1" s="1"/>
  <c r="F347" i="1"/>
  <c r="G347" i="1"/>
  <c r="H347" i="1"/>
  <c r="J347" i="1" s="1"/>
  <c r="A135" i="1" a="1"/>
  <c r="A135" i="1" s="1"/>
  <c r="B135" i="1"/>
  <c r="C135" i="1" a="1"/>
  <c r="C135" i="1" s="1"/>
  <c r="D135" i="1" a="1"/>
  <c r="D135" i="1" s="1"/>
  <c r="E135" i="1" a="1"/>
  <c r="E135" i="1" s="1"/>
  <c r="F135" i="1"/>
  <c r="G135" i="1"/>
  <c r="H135" i="1"/>
  <c r="A275" i="1" a="1"/>
  <c r="A275" i="1" s="1"/>
  <c r="B275" i="1"/>
  <c r="C275" i="1" a="1"/>
  <c r="C275" i="1" s="1"/>
  <c r="D275" i="1" a="1"/>
  <c r="D275" i="1" s="1"/>
  <c r="E275" i="1" a="1"/>
  <c r="E275" i="1" s="1"/>
  <c r="F275" i="1"/>
  <c r="G275" i="1"/>
  <c r="H275" i="1"/>
  <c r="J275" i="1" s="1"/>
  <c r="A415" i="1" a="1"/>
  <c r="A415" i="1" s="1"/>
  <c r="B415" i="1"/>
  <c r="C415" i="1" a="1"/>
  <c r="C415" i="1" s="1"/>
  <c r="D415" i="1" a="1"/>
  <c r="D415" i="1" s="1"/>
  <c r="E415" i="1" a="1"/>
  <c r="E415" i="1" s="1"/>
  <c r="F415" i="1"/>
  <c r="G415" i="1"/>
  <c r="H415" i="1"/>
  <c r="A348" i="1" a="1"/>
  <c r="A348" i="1" s="1"/>
  <c r="B348" i="1"/>
  <c r="C348" i="1" a="1"/>
  <c r="C348" i="1" s="1"/>
  <c r="D348" i="1" a="1"/>
  <c r="D348" i="1" s="1"/>
  <c r="E348" i="1" a="1"/>
  <c r="E348" i="1" s="1"/>
  <c r="F348" i="1"/>
  <c r="G348" i="1"/>
  <c r="H348" i="1"/>
  <c r="J348" i="1" s="1"/>
  <c r="A73" i="1" a="1"/>
  <c r="A73" i="1" s="1"/>
  <c r="B73" i="1"/>
  <c r="C73" i="1" a="1"/>
  <c r="C73" i="1" s="1"/>
  <c r="D73" i="1" a="1"/>
  <c r="D73" i="1" s="1"/>
  <c r="E73" i="1" a="1"/>
  <c r="E73" i="1" s="1"/>
  <c r="F73" i="1"/>
  <c r="G73" i="1"/>
  <c r="H73" i="1"/>
  <c r="J73" i="1" s="1"/>
  <c r="A544" i="1" a="1"/>
  <c r="A544" i="1" s="1"/>
  <c r="B544" i="1"/>
  <c r="C544" i="1" a="1"/>
  <c r="C544" i="1" s="1"/>
  <c r="D544" i="1" a="1"/>
  <c r="D544" i="1" s="1"/>
  <c r="E544" i="1" a="1"/>
  <c r="E544" i="1" s="1"/>
  <c r="F544" i="1"/>
  <c r="G544" i="1"/>
  <c r="H544" i="1"/>
  <c r="J544" i="1" s="1"/>
  <c r="A206" i="1" a="1"/>
  <c r="A206" i="1" s="1"/>
  <c r="B206" i="1"/>
  <c r="C206" i="1" a="1"/>
  <c r="C206" i="1" s="1"/>
  <c r="D206" i="1" a="1"/>
  <c r="D206" i="1" s="1"/>
  <c r="E206" i="1" a="1"/>
  <c r="E206" i="1" s="1"/>
  <c r="F206" i="1"/>
  <c r="G206" i="1"/>
  <c r="H206" i="1"/>
  <c r="J206" i="1" s="1"/>
  <c r="A416" i="1" a="1"/>
  <c r="A416" i="1" s="1"/>
  <c r="B416" i="1"/>
  <c r="C416" i="1" a="1"/>
  <c r="C416" i="1" s="1"/>
  <c r="D416" i="1" a="1"/>
  <c r="D416" i="1" s="1"/>
  <c r="E416" i="1" a="1"/>
  <c r="E416" i="1" s="1"/>
  <c r="F416" i="1"/>
  <c r="G416" i="1"/>
  <c r="H416" i="1"/>
  <c r="J416" i="1" s="1"/>
  <c r="A12" i="1" a="1"/>
  <c r="A12" i="1" s="1"/>
  <c r="B12" i="1"/>
  <c r="C12" i="1" a="1"/>
  <c r="C12" i="1" s="1"/>
  <c r="D12" i="1" a="1"/>
  <c r="D12" i="1" s="1"/>
  <c r="E12" i="1" a="1"/>
  <c r="E12" i="1" s="1"/>
  <c r="F12" i="1"/>
  <c r="G12" i="1"/>
  <c r="H12" i="1"/>
  <c r="J12" i="1" s="1"/>
  <c r="A207" i="1" a="1"/>
  <c r="A207" i="1" s="1"/>
  <c r="B207" i="1"/>
  <c r="C207" i="1" a="1"/>
  <c r="C207" i="1" s="1"/>
  <c r="D207" i="1" a="1"/>
  <c r="D207" i="1" s="1"/>
  <c r="E207" i="1" a="1"/>
  <c r="E207" i="1" s="1"/>
  <c r="F207" i="1"/>
  <c r="G207" i="1"/>
  <c r="H207" i="1"/>
  <c r="A136" i="1" a="1"/>
  <c r="A136" i="1" s="1"/>
  <c r="B136" i="1"/>
  <c r="C136" i="1" a="1"/>
  <c r="C136" i="1" s="1"/>
  <c r="D136" i="1" a="1"/>
  <c r="D136" i="1" s="1"/>
  <c r="E136" i="1" a="1"/>
  <c r="E136" i="1" s="1"/>
  <c r="F136" i="1"/>
  <c r="G136" i="1"/>
  <c r="H136" i="1"/>
  <c r="J136" i="1" s="1"/>
  <c r="A276" i="1" a="1"/>
  <c r="A276" i="1" s="1"/>
  <c r="B276" i="1"/>
  <c r="C276" i="1" a="1"/>
  <c r="C276" i="1" s="1"/>
  <c r="D276" i="1" a="1"/>
  <c r="D276" i="1" s="1"/>
  <c r="E276" i="1" a="1"/>
  <c r="E276" i="1" s="1"/>
  <c r="F276" i="1"/>
  <c r="G276" i="1"/>
  <c r="H276" i="1"/>
  <c r="J276" i="1" s="1"/>
  <c r="A74" i="1" a="1"/>
  <c r="A74" i="1" s="1"/>
  <c r="B74" i="1"/>
  <c r="C74" i="1" a="1"/>
  <c r="C74" i="1" s="1"/>
  <c r="D74" i="1" a="1"/>
  <c r="D74" i="1" s="1"/>
  <c r="E74" i="1" a="1"/>
  <c r="E74" i="1" s="1"/>
  <c r="F74" i="1"/>
  <c r="G74" i="1"/>
  <c r="H74" i="1"/>
  <c r="J74" i="1" s="1"/>
  <c r="A349" i="1" a="1"/>
  <c r="A349" i="1" s="1"/>
  <c r="B349" i="1"/>
  <c r="C349" i="1" a="1"/>
  <c r="C349" i="1" s="1"/>
  <c r="D349" i="1" a="1"/>
  <c r="D349" i="1" s="1"/>
  <c r="E349" i="1" a="1"/>
  <c r="E349" i="1" s="1"/>
  <c r="F349" i="1"/>
  <c r="G349" i="1"/>
  <c r="H349" i="1"/>
  <c r="A137" i="1" a="1"/>
  <c r="A137" i="1" s="1"/>
  <c r="B137" i="1"/>
  <c r="C137" i="1" a="1"/>
  <c r="C137" i="1" s="1"/>
  <c r="D137" i="1" a="1"/>
  <c r="D137" i="1" s="1"/>
  <c r="E137" i="1" a="1"/>
  <c r="E137" i="1" s="1"/>
  <c r="F137" i="1"/>
  <c r="G137" i="1"/>
  <c r="H137" i="1"/>
  <c r="J137" i="1" s="1"/>
  <c r="A277" i="1" a="1"/>
  <c r="A277" i="1" s="1"/>
  <c r="B277" i="1"/>
  <c r="C277" i="1" a="1"/>
  <c r="C277" i="1" s="1"/>
  <c r="D277" i="1" a="1"/>
  <c r="D277" i="1" s="1"/>
  <c r="E277" i="1" a="1"/>
  <c r="E277" i="1" s="1"/>
  <c r="F277" i="1"/>
  <c r="G277" i="1"/>
  <c r="H277" i="1"/>
  <c r="J277" i="1" s="1"/>
  <c r="A278" i="1" a="1"/>
  <c r="A278" i="1" s="1"/>
  <c r="B278" i="1"/>
  <c r="C278" i="1" a="1"/>
  <c r="C278" i="1" s="1"/>
  <c r="D278" i="1" a="1"/>
  <c r="D278" i="1" s="1"/>
  <c r="E278" i="1" a="1"/>
  <c r="E278" i="1" s="1"/>
  <c r="F278" i="1"/>
  <c r="G278" i="1"/>
  <c r="H278" i="1"/>
  <c r="J278" i="1" s="1"/>
  <c r="A545" i="1" a="1"/>
  <c r="A545" i="1" s="1"/>
  <c r="B545" i="1"/>
  <c r="C545" i="1" a="1"/>
  <c r="C545" i="1" s="1"/>
  <c r="D545" i="1" a="1"/>
  <c r="D545" i="1" s="1"/>
  <c r="E545" i="1" a="1"/>
  <c r="E545" i="1" s="1"/>
  <c r="F545" i="1"/>
  <c r="G545" i="1"/>
  <c r="H545" i="1"/>
  <c r="J545" i="1" s="1"/>
  <c r="A350" i="1" a="1"/>
  <c r="A350" i="1" s="1"/>
  <c r="B350" i="1"/>
  <c r="C350" i="1" a="1"/>
  <c r="C350" i="1" s="1"/>
  <c r="D350" i="1" a="1"/>
  <c r="D350" i="1" s="1"/>
  <c r="E350" i="1" a="1"/>
  <c r="E350" i="1" s="1"/>
  <c r="F350" i="1"/>
  <c r="G350" i="1"/>
  <c r="H350" i="1"/>
  <c r="A279" i="1" a="1"/>
  <c r="A279" i="1" s="1"/>
  <c r="B279" i="1"/>
  <c r="C279" i="1" a="1"/>
  <c r="C279" i="1" s="1"/>
  <c r="D279" i="1" a="1"/>
  <c r="D279" i="1" s="1"/>
  <c r="E279" i="1" a="1"/>
  <c r="E279" i="1" s="1"/>
  <c r="F279" i="1"/>
  <c r="G279" i="1"/>
  <c r="H279" i="1"/>
  <c r="J279" i="1" s="1"/>
  <c r="A13" i="1" a="1"/>
  <c r="A13" i="1" s="1"/>
  <c r="B13" i="1"/>
  <c r="C13" i="1" a="1"/>
  <c r="C13" i="1" s="1"/>
  <c r="D13" i="1" a="1"/>
  <c r="D13" i="1" s="1"/>
  <c r="E13" i="1" a="1"/>
  <c r="E13" i="1" s="1"/>
  <c r="F13" i="1"/>
  <c r="G13" i="1"/>
  <c r="H13" i="1"/>
  <c r="J13" i="1" s="1"/>
  <c r="A208" i="1" a="1"/>
  <c r="A208" i="1" s="1"/>
  <c r="B208" i="1"/>
  <c r="C208" i="1" a="1"/>
  <c r="C208" i="1" s="1"/>
  <c r="D208" i="1" a="1"/>
  <c r="D208" i="1" s="1"/>
  <c r="E208" i="1" a="1"/>
  <c r="E208" i="1" s="1"/>
  <c r="F208" i="1"/>
  <c r="G208" i="1"/>
  <c r="H208" i="1"/>
  <c r="J208" i="1" s="1"/>
  <c r="A351" i="1" a="1"/>
  <c r="A351" i="1" s="1"/>
  <c r="B351" i="1"/>
  <c r="C351" i="1" a="1"/>
  <c r="C351" i="1" s="1"/>
  <c r="D351" i="1" a="1"/>
  <c r="D351" i="1" s="1"/>
  <c r="E351" i="1" a="1"/>
  <c r="E351" i="1" s="1"/>
  <c r="F351" i="1"/>
  <c r="G351" i="1"/>
  <c r="H351" i="1"/>
  <c r="A280" i="1" a="1"/>
  <c r="A280" i="1" s="1"/>
  <c r="B280" i="1"/>
  <c r="C280" i="1" a="1"/>
  <c r="C280" i="1" s="1"/>
  <c r="D280" i="1" a="1"/>
  <c r="D280" i="1" s="1"/>
  <c r="E280" i="1" a="1"/>
  <c r="E280" i="1" s="1"/>
  <c r="F280" i="1"/>
  <c r="G280" i="1"/>
  <c r="H280" i="1"/>
  <c r="J280" i="1" s="1"/>
  <c r="A138" i="1" a="1"/>
  <c r="A138" i="1" s="1"/>
  <c r="B138" i="1"/>
  <c r="C138" i="1" a="1"/>
  <c r="C138" i="1" s="1"/>
  <c r="D138" i="1" a="1"/>
  <c r="D138" i="1" s="1"/>
  <c r="E138" i="1" a="1"/>
  <c r="E138" i="1" s="1"/>
  <c r="F138" i="1"/>
  <c r="G138" i="1"/>
  <c r="H138" i="1"/>
  <c r="J138" i="1" s="1"/>
  <c r="A417" i="1" a="1"/>
  <c r="A417" i="1" s="1"/>
  <c r="B417" i="1"/>
  <c r="C417" i="1" a="1"/>
  <c r="C417" i="1" s="1"/>
  <c r="D417" i="1" a="1"/>
  <c r="D417" i="1" s="1"/>
  <c r="E417" i="1" a="1"/>
  <c r="E417" i="1" s="1"/>
  <c r="F417" i="1"/>
  <c r="G417" i="1"/>
  <c r="H417" i="1"/>
  <c r="J417" i="1" s="1"/>
  <c r="A75" i="1" a="1"/>
  <c r="A75" i="1" s="1"/>
  <c r="B75" i="1"/>
  <c r="C75" i="1" a="1"/>
  <c r="C75" i="1" s="1"/>
  <c r="D75" i="1" a="1"/>
  <c r="D75" i="1" s="1"/>
  <c r="E75" i="1" a="1"/>
  <c r="E75" i="1" s="1"/>
  <c r="F75" i="1"/>
  <c r="G75" i="1"/>
  <c r="H75" i="1"/>
  <c r="J75" i="1" s="1"/>
  <c r="A14" i="1" a="1"/>
  <c r="A14" i="1" s="1"/>
  <c r="B14" i="1"/>
  <c r="C14" i="1" a="1"/>
  <c r="C14" i="1" s="1"/>
  <c r="D14" i="1" a="1"/>
  <c r="D14" i="1" s="1"/>
  <c r="E14" i="1" a="1"/>
  <c r="E14" i="1" s="1"/>
  <c r="F14" i="1"/>
  <c r="G14" i="1"/>
  <c r="H14" i="1"/>
  <c r="J14" i="1" s="1"/>
  <c r="A209" i="1" a="1"/>
  <c r="A209" i="1" s="1"/>
  <c r="B209" i="1"/>
  <c r="C209" i="1" a="1"/>
  <c r="C209" i="1" s="1"/>
  <c r="D209" i="1" a="1"/>
  <c r="D209" i="1" s="1"/>
  <c r="E209" i="1" a="1"/>
  <c r="E209" i="1" s="1"/>
  <c r="F209" i="1"/>
  <c r="G209" i="1"/>
  <c r="H209" i="1"/>
  <c r="A210" i="1" a="1"/>
  <c r="A210" i="1" s="1"/>
  <c r="B210" i="1"/>
  <c r="C210" i="1" a="1"/>
  <c r="C210" i="1" s="1"/>
  <c r="D210" i="1" a="1"/>
  <c r="D210" i="1" s="1"/>
  <c r="E210" i="1" a="1"/>
  <c r="E210" i="1" s="1"/>
  <c r="F210" i="1"/>
  <c r="G210" i="1"/>
  <c r="H210" i="1"/>
  <c r="J210" i="1" s="1"/>
  <c r="A139" i="1" a="1"/>
  <c r="A139" i="1" s="1"/>
  <c r="B139" i="1"/>
  <c r="C139" i="1" a="1"/>
  <c r="C139" i="1" s="1"/>
  <c r="D139" i="1" a="1"/>
  <c r="D139" i="1" s="1"/>
  <c r="E139" i="1" a="1"/>
  <c r="E139" i="1" s="1"/>
  <c r="F139" i="1"/>
  <c r="G139" i="1"/>
  <c r="H139" i="1"/>
  <c r="J139" i="1" s="1"/>
  <c r="A352" i="1" a="1"/>
  <c r="A352" i="1" s="1"/>
  <c r="B352" i="1"/>
  <c r="C352" i="1" a="1"/>
  <c r="C352" i="1" s="1"/>
  <c r="D352" i="1" a="1"/>
  <c r="D352" i="1" s="1"/>
  <c r="E352" i="1" a="1"/>
  <c r="E352" i="1" s="1"/>
  <c r="F352" i="1"/>
  <c r="G352" i="1"/>
  <c r="H352" i="1"/>
  <c r="J352" i="1" s="1"/>
  <c r="A140" i="1" a="1"/>
  <c r="A140" i="1" s="1"/>
  <c r="B140" i="1"/>
  <c r="C140" i="1" a="1"/>
  <c r="C140" i="1" s="1"/>
  <c r="D140" i="1" a="1"/>
  <c r="D140" i="1" s="1"/>
  <c r="E140" i="1" a="1"/>
  <c r="E140" i="1" s="1"/>
  <c r="F140" i="1"/>
  <c r="G140" i="1"/>
  <c r="H140" i="1"/>
  <c r="A141" i="1" a="1"/>
  <c r="A141" i="1" s="1"/>
  <c r="B141" i="1"/>
  <c r="C141" i="1" a="1"/>
  <c r="C141" i="1" s="1"/>
  <c r="D141" i="1" a="1"/>
  <c r="D141" i="1" s="1"/>
  <c r="E141" i="1" a="1"/>
  <c r="E141" i="1" s="1"/>
  <c r="F141" i="1"/>
  <c r="G141" i="1"/>
  <c r="H141" i="1"/>
  <c r="J141" i="1" s="1"/>
  <c r="A487" i="1" a="1"/>
  <c r="A487" i="1" s="1"/>
  <c r="B487" i="1"/>
  <c r="C487" i="1" a="1"/>
  <c r="C487" i="1" s="1"/>
  <c r="D487" i="1" a="1"/>
  <c r="D487" i="1" s="1"/>
  <c r="E487" i="1" a="1"/>
  <c r="E487" i="1" s="1"/>
  <c r="F487" i="1"/>
  <c r="G487" i="1"/>
  <c r="H487" i="1"/>
  <c r="J487" i="1" s="1"/>
  <c r="A211" i="1" a="1"/>
  <c r="A211" i="1" s="1"/>
  <c r="B211" i="1"/>
  <c r="C211" i="1" a="1"/>
  <c r="C211" i="1" s="1"/>
  <c r="D211" i="1" a="1"/>
  <c r="D211" i="1" s="1"/>
  <c r="E211" i="1" a="1"/>
  <c r="E211" i="1" s="1"/>
  <c r="F211" i="1"/>
  <c r="G211" i="1"/>
  <c r="H211" i="1"/>
  <c r="J211" i="1" s="1"/>
  <c r="A142" i="1" a="1"/>
  <c r="A142" i="1" s="1"/>
  <c r="B142" i="1"/>
  <c r="C142" i="1" a="1"/>
  <c r="C142" i="1" s="1"/>
  <c r="D142" i="1" a="1"/>
  <c r="D142" i="1" s="1"/>
  <c r="E142" i="1" a="1"/>
  <c r="E142" i="1" s="1"/>
  <c r="F142" i="1"/>
  <c r="G142" i="1"/>
  <c r="H142" i="1"/>
  <c r="A143" i="1" a="1"/>
  <c r="A143" i="1" s="1"/>
  <c r="B143" i="1"/>
  <c r="C143" i="1" a="1"/>
  <c r="C143" i="1" s="1"/>
  <c r="D143" i="1" a="1"/>
  <c r="D143" i="1" s="1"/>
  <c r="E143" i="1" a="1"/>
  <c r="E143" i="1" s="1"/>
  <c r="F143" i="1"/>
  <c r="G143" i="1"/>
  <c r="H143" i="1"/>
  <c r="A488" i="1" a="1"/>
  <c r="A488" i="1" s="1"/>
  <c r="B488" i="1"/>
  <c r="C488" i="1" a="1"/>
  <c r="C488" i="1" s="1"/>
  <c r="D488" i="1" a="1"/>
  <c r="D488" i="1" s="1"/>
  <c r="E488" i="1" a="1"/>
  <c r="E488" i="1" s="1"/>
  <c r="F488" i="1"/>
  <c r="G488" i="1"/>
  <c r="H488" i="1"/>
  <c r="J488" i="1" s="1"/>
  <c r="A601" i="1" a="1"/>
  <c r="A601" i="1" s="1"/>
  <c r="B601" i="1"/>
  <c r="C601" i="1" a="1"/>
  <c r="C601" i="1" s="1"/>
  <c r="D601" i="1" a="1"/>
  <c r="D601" i="1" s="1"/>
  <c r="E601" i="1" a="1"/>
  <c r="E601" i="1" s="1"/>
  <c r="F601" i="1"/>
  <c r="G601" i="1"/>
  <c r="H601" i="1"/>
  <c r="A602" i="1" a="1"/>
  <c r="A602" i="1" s="1"/>
  <c r="B602" i="1"/>
  <c r="C602" i="1" a="1"/>
  <c r="C602" i="1" s="1"/>
  <c r="D602" i="1" a="1"/>
  <c r="D602" i="1" s="1"/>
  <c r="E602" i="1" a="1"/>
  <c r="E602" i="1" s="1"/>
  <c r="F602" i="1"/>
  <c r="G602" i="1"/>
  <c r="H602" i="1"/>
  <c r="A546" i="1" a="1"/>
  <c r="A546" i="1" s="1"/>
  <c r="B546" i="1"/>
  <c r="C546" i="1" a="1"/>
  <c r="C546" i="1" s="1"/>
  <c r="D546" i="1" a="1"/>
  <c r="D546" i="1" s="1"/>
  <c r="E546" i="1" a="1"/>
  <c r="E546" i="1" s="1"/>
  <c r="F546" i="1"/>
  <c r="G546" i="1"/>
  <c r="H546" i="1"/>
  <c r="J546" i="1" s="1"/>
  <c r="A212" i="1" a="1"/>
  <c r="A212" i="1" s="1"/>
  <c r="B212" i="1"/>
  <c r="C212" i="1" a="1"/>
  <c r="C212" i="1" s="1"/>
  <c r="D212" i="1" a="1"/>
  <c r="D212" i="1" s="1"/>
  <c r="E212" i="1" a="1"/>
  <c r="E212" i="1" s="1"/>
  <c r="F212" i="1"/>
  <c r="G212" i="1"/>
  <c r="H212" i="1"/>
  <c r="J212" i="1" s="1"/>
  <c r="A547" i="1" a="1"/>
  <c r="A547" i="1" s="1"/>
  <c r="B547" i="1"/>
  <c r="C547" i="1" a="1"/>
  <c r="C547" i="1" s="1"/>
  <c r="D547" i="1" a="1"/>
  <c r="D547" i="1" s="1"/>
  <c r="E547" i="1" a="1"/>
  <c r="E547" i="1" s="1"/>
  <c r="F547" i="1"/>
  <c r="G547" i="1"/>
  <c r="H547" i="1"/>
  <c r="J547" i="1" s="1"/>
  <c r="A418" i="1" a="1"/>
  <c r="A418" i="1" s="1"/>
  <c r="B418" i="1"/>
  <c r="C418" i="1" a="1"/>
  <c r="C418" i="1" s="1"/>
  <c r="D418" i="1" a="1"/>
  <c r="D418" i="1" s="1"/>
  <c r="E418" i="1" a="1"/>
  <c r="E418" i="1" s="1"/>
  <c r="F418" i="1"/>
  <c r="G418" i="1"/>
  <c r="H418" i="1"/>
  <c r="A603" i="1" a="1"/>
  <c r="A603" i="1" s="1"/>
  <c r="B603" i="1"/>
  <c r="C603" i="1" a="1"/>
  <c r="C603" i="1" s="1"/>
  <c r="D603" i="1" a="1"/>
  <c r="D603" i="1" s="1"/>
  <c r="E603" i="1" a="1"/>
  <c r="E603" i="1" s="1"/>
  <c r="F603" i="1"/>
  <c r="G603" i="1"/>
  <c r="H603" i="1"/>
  <c r="A281" i="1" a="1"/>
  <c r="A281" i="1" s="1"/>
  <c r="B281" i="1"/>
  <c r="C281" i="1" a="1"/>
  <c r="C281" i="1" s="1"/>
  <c r="D281" i="1" a="1"/>
  <c r="D281" i="1" s="1"/>
  <c r="E281" i="1" a="1"/>
  <c r="E281" i="1" s="1"/>
  <c r="F281" i="1"/>
  <c r="G281" i="1"/>
  <c r="H281" i="1"/>
  <c r="J281" i="1" s="1"/>
  <c r="A282" i="1" a="1"/>
  <c r="A282" i="1" s="1"/>
  <c r="B282" i="1"/>
  <c r="C282" i="1" a="1"/>
  <c r="C282" i="1" s="1"/>
  <c r="D282" i="1" a="1"/>
  <c r="D282" i="1" s="1"/>
  <c r="E282" i="1" a="1"/>
  <c r="E282" i="1" s="1"/>
  <c r="F282" i="1"/>
  <c r="G282" i="1"/>
  <c r="H282" i="1"/>
  <c r="J282" i="1" s="1"/>
  <c r="A548" i="1" a="1"/>
  <c r="A548" i="1" s="1"/>
  <c r="B548" i="1"/>
  <c r="C548" i="1" a="1"/>
  <c r="C548" i="1" s="1"/>
  <c r="D548" i="1" a="1"/>
  <c r="D548" i="1" s="1"/>
  <c r="E548" i="1" a="1"/>
  <c r="E548" i="1" s="1"/>
  <c r="F548" i="1"/>
  <c r="G548" i="1"/>
  <c r="H548" i="1"/>
  <c r="A76" i="1" a="1"/>
  <c r="A76" i="1" s="1"/>
  <c r="B76" i="1"/>
  <c r="C76" i="1" a="1"/>
  <c r="C76" i="1" s="1"/>
  <c r="D76" i="1" a="1"/>
  <c r="D76" i="1" s="1"/>
  <c r="E76" i="1" a="1"/>
  <c r="E76" i="1" s="1"/>
  <c r="F76" i="1"/>
  <c r="G76" i="1"/>
  <c r="H76" i="1"/>
  <c r="J76" i="1" s="1"/>
  <c r="A419" i="1" a="1"/>
  <c r="A419" i="1" s="1"/>
  <c r="B419" i="1"/>
  <c r="C419" i="1" a="1"/>
  <c r="C419" i="1" s="1"/>
  <c r="D419" i="1" a="1"/>
  <c r="D419" i="1" s="1"/>
  <c r="E419" i="1" a="1"/>
  <c r="E419" i="1" s="1"/>
  <c r="F419" i="1"/>
  <c r="G419" i="1"/>
  <c r="H419" i="1"/>
  <c r="J419" i="1" s="1"/>
  <c r="A420" i="1" a="1"/>
  <c r="A420" i="1" s="1"/>
  <c r="B420" i="1"/>
  <c r="C420" i="1" a="1"/>
  <c r="C420" i="1" s="1"/>
  <c r="D420" i="1" a="1"/>
  <c r="D420" i="1" s="1"/>
  <c r="E420" i="1" a="1"/>
  <c r="E420" i="1" s="1"/>
  <c r="F420" i="1"/>
  <c r="G420" i="1"/>
  <c r="H420" i="1"/>
  <c r="J420" i="1" s="1"/>
  <c r="A353" i="1" a="1"/>
  <c r="A353" i="1" s="1"/>
  <c r="B353" i="1"/>
  <c r="C353" i="1" a="1"/>
  <c r="C353" i="1" s="1"/>
  <c r="D353" i="1" a="1"/>
  <c r="D353" i="1" s="1"/>
  <c r="E353" i="1" a="1"/>
  <c r="E353" i="1" s="1"/>
  <c r="F353" i="1"/>
  <c r="G353" i="1"/>
  <c r="H353" i="1"/>
  <c r="A549" i="1" a="1"/>
  <c r="A549" i="1" s="1"/>
  <c r="B549" i="1"/>
  <c r="C549" i="1" a="1"/>
  <c r="C549" i="1" s="1"/>
  <c r="D549" i="1" a="1"/>
  <c r="D549" i="1" s="1"/>
  <c r="E549" i="1" a="1"/>
  <c r="E549" i="1" s="1"/>
  <c r="F549" i="1"/>
  <c r="G549" i="1"/>
  <c r="H549" i="1"/>
  <c r="J549" i="1" s="1"/>
  <c r="A15" i="1" a="1"/>
  <c r="A15" i="1" s="1"/>
  <c r="B15" i="1"/>
  <c r="C15" i="1" a="1"/>
  <c r="C15" i="1" s="1"/>
  <c r="D15" i="1" a="1"/>
  <c r="D15" i="1" s="1"/>
  <c r="E15" i="1" a="1"/>
  <c r="E15" i="1" s="1"/>
  <c r="F15" i="1"/>
  <c r="G15" i="1"/>
  <c r="H15" i="1"/>
  <c r="J15" i="1" s="1"/>
  <c r="A77" i="1" a="1"/>
  <c r="A77" i="1" s="1"/>
  <c r="B77" i="1"/>
  <c r="C77" i="1" a="1"/>
  <c r="C77" i="1" s="1"/>
  <c r="D77" i="1" a="1"/>
  <c r="D77" i="1" s="1"/>
  <c r="E77" i="1" a="1"/>
  <c r="E77" i="1" s="1"/>
  <c r="F77" i="1"/>
  <c r="G77" i="1"/>
  <c r="H77" i="1"/>
  <c r="A421" i="1" a="1"/>
  <c r="A421" i="1" s="1"/>
  <c r="B421" i="1"/>
  <c r="C421" i="1" a="1"/>
  <c r="C421" i="1" s="1"/>
  <c r="D421" i="1" a="1"/>
  <c r="D421" i="1" s="1"/>
  <c r="E421" i="1" a="1"/>
  <c r="E421" i="1" s="1"/>
  <c r="F421" i="1"/>
  <c r="G421" i="1"/>
  <c r="H421" i="1"/>
  <c r="J421" i="1" s="1"/>
  <c r="A78" i="1" a="1"/>
  <c r="A78" i="1" s="1"/>
  <c r="B78" i="1"/>
  <c r="C78" i="1" a="1"/>
  <c r="C78" i="1" s="1"/>
  <c r="D78" i="1" a="1"/>
  <c r="D78" i="1" s="1"/>
  <c r="E78" i="1" a="1"/>
  <c r="E78" i="1" s="1"/>
  <c r="F78" i="1"/>
  <c r="G78" i="1"/>
  <c r="H78" i="1"/>
  <c r="J78" i="1" s="1"/>
  <c r="A489" i="1" a="1"/>
  <c r="A489" i="1" s="1"/>
  <c r="B489" i="1"/>
  <c r="C489" i="1" a="1"/>
  <c r="C489" i="1" s="1"/>
  <c r="D489" i="1" a="1"/>
  <c r="D489" i="1" s="1"/>
  <c r="E489" i="1" a="1"/>
  <c r="E489" i="1" s="1"/>
  <c r="F489" i="1"/>
  <c r="G489" i="1"/>
  <c r="H489" i="1"/>
  <c r="J489" i="1" s="1"/>
  <c r="A16" i="1" a="1"/>
  <c r="A16" i="1" s="1"/>
  <c r="B16" i="1"/>
  <c r="C16" i="1" a="1"/>
  <c r="C16" i="1" s="1"/>
  <c r="D16" i="1" a="1"/>
  <c r="D16" i="1" s="1"/>
  <c r="E16" i="1" a="1"/>
  <c r="E16" i="1" s="1"/>
  <c r="F16" i="1"/>
  <c r="G16" i="1"/>
  <c r="H16" i="1"/>
  <c r="J16" i="1" s="1"/>
  <c r="A550" i="1" a="1"/>
  <c r="A550" i="1" s="1"/>
  <c r="B550" i="1"/>
  <c r="C550" i="1" a="1"/>
  <c r="C550" i="1" s="1"/>
  <c r="D550" i="1" a="1"/>
  <c r="D550" i="1" s="1"/>
  <c r="E550" i="1" a="1"/>
  <c r="E550" i="1" s="1"/>
  <c r="F550" i="1"/>
  <c r="G550" i="1"/>
  <c r="H550" i="1"/>
  <c r="J550" i="1" s="1"/>
  <c r="A283" i="1" a="1"/>
  <c r="A283" i="1" s="1"/>
  <c r="B283" i="1"/>
  <c r="C283" i="1" a="1"/>
  <c r="C283" i="1" s="1"/>
  <c r="D283" i="1" a="1"/>
  <c r="D283" i="1" s="1"/>
  <c r="E283" i="1" a="1"/>
  <c r="E283" i="1" s="1"/>
  <c r="F283" i="1"/>
  <c r="G283" i="1"/>
  <c r="H283" i="1"/>
  <c r="J283" i="1" s="1"/>
  <c r="A551" i="1" a="1"/>
  <c r="A551" i="1" s="1"/>
  <c r="B551" i="1"/>
  <c r="C551" i="1" a="1"/>
  <c r="C551" i="1" s="1"/>
  <c r="D551" i="1" a="1"/>
  <c r="D551" i="1" s="1"/>
  <c r="E551" i="1" a="1"/>
  <c r="E551" i="1" s="1"/>
  <c r="F551" i="1"/>
  <c r="G551" i="1"/>
  <c r="H551" i="1"/>
  <c r="A490" i="1" a="1"/>
  <c r="A490" i="1" s="1"/>
  <c r="B490" i="1"/>
  <c r="C490" i="1" a="1"/>
  <c r="C490" i="1" s="1"/>
  <c r="D490" i="1" a="1"/>
  <c r="D490" i="1" s="1"/>
  <c r="E490" i="1" a="1"/>
  <c r="E490" i="1" s="1"/>
  <c r="F490" i="1"/>
  <c r="G490" i="1"/>
  <c r="H490" i="1"/>
  <c r="J490" i="1" s="1"/>
  <c r="A422" i="1" a="1"/>
  <c r="A422" i="1" s="1"/>
  <c r="B422" i="1"/>
  <c r="C422" i="1" a="1"/>
  <c r="C422" i="1" s="1"/>
  <c r="D422" i="1" a="1"/>
  <c r="D422" i="1" s="1"/>
  <c r="E422" i="1" a="1"/>
  <c r="E422" i="1" s="1"/>
  <c r="F422" i="1"/>
  <c r="G422" i="1"/>
  <c r="H422" i="1"/>
  <c r="A144" i="1" a="1"/>
  <c r="A144" i="1" s="1"/>
  <c r="B144" i="1"/>
  <c r="C144" i="1" a="1"/>
  <c r="C144" i="1" s="1"/>
  <c r="D144" i="1" a="1"/>
  <c r="D144" i="1" s="1"/>
  <c r="E144" i="1" a="1"/>
  <c r="E144" i="1" s="1"/>
  <c r="F144" i="1"/>
  <c r="G144" i="1"/>
  <c r="H144" i="1"/>
  <c r="J144" i="1" s="1"/>
  <c r="A79" i="1" a="1"/>
  <c r="A79" i="1" s="1"/>
  <c r="B79" i="1"/>
  <c r="C79" i="1" a="1"/>
  <c r="C79" i="1" s="1"/>
  <c r="D79" i="1" a="1"/>
  <c r="D79" i="1" s="1"/>
  <c r="E79" i="1" a="1"/>
  <c r="E79" i="1" s="1"/>
  <c r="F79" i="1"/>
  <c r="G79" i="1"/>
  <c r="H79" i="1"/>
  <c r="J79" i="1" s="1"/>
  <c r="A213" i="1" a="1"/>
  <c r="A213" i="1" s="1"/>
  <c r="B213" i="1"/>
  <c r="C213" i="1" a="1"/>
  <c r="C213" i="1" s="1"/>
  <c r="D213" i="1" a="1"/>
  <c r="D213" i="1" s="1"/>
  <c r="E213" i="1" a="1"/>
  <c r="E213" i="1" s="1"/>
  <c r="F213" i="1"/>
  <c r="G213" i="1"/>
  <c r="H213" i="1"/>
  <c r="J213" i="1" s="1"/>
  <c r="A284" i="1" a="1"/>
  <c r="A284" i="1" s="1"/>
  <c r="B284" i="1"/>
  <c r="C284" i="1" a="1"/>
  <c r="C284" i="1" s="1"/>
  <c r="D284" i="1" a="1"/>
  <c r="D284" i="1" s="1"/>
  <c r="E284" i="1" a="1"/>
  <c r="E284" i="1" s="1"/>
  <c r="F284" i="1"/>
  <c r="G284" i="1"/>
  <c r="H284" i="1"/>
  <c r="A80" i="1" a="1"/>
  <c r="A80" i="1" s="1"/>
  <c r="B80" i="1"/>
  <c r="C80" i="1" a="1"/>
  <c r="C80" i="1" s="1"/>
  <c r="D80" i="1" a="1"/>
  <c r="D80" i="1" s="1"/>
  <c r="E80" i="1" a="1"/>
  <c r="E80" i="1" s="1"/>
  <c r="F80" i="1"/>
  <c r="G80" i="1"/>
  <c r="H80" i="1"/>
  <c r="J80" i="1" s="1"/>
  <c r="A145" i="1" a="1"/>
  <c r="A145" i="1" s="1"/>
  <c r="B145" i="1"/>
  <c r="C145" i="1" a="1"/>
  <c r="C145" i="1" s="1"/>
  <c r="D145" i="1" a="1"/>
  <c r="D145" i="1" s="1"/>
  <c r="E145" i="1" a="1"/>
  <c r="E145" i="1" s="1"/>
  <c r="F145" i="1"/>
  <c r="G145" i="1"/>
  <c r="H145" i="1"/>
  <c r="J145" i="1" s="1"/>
  <c r="A214" i="1" a="1"/>
  <c r="A214" i="1" s="1"/>
  <c r="B214" i="1"/>
  <c r="C214" i="1" a="1"/>
  <c r="C214" i="1" s="1"/>
  <c r="D214" i="1" a="1"/>
  <c r="D214" i="1" s="1"/>
  <c r="E214" i="1" a="1"/>
  <c r="E214" i="1" s="1"/>
  <c r="F214" i="1"/>
  <c r="G214" i="1"/>
  <c r="H214" i="1"/>
  <c r="J214" i="1" s="1"/>
  <c r="A81" i="1" a="1"/>
  <c r="A81" i="1" s="1"/>
  <c r="B81" i="1"/>
  <c r="C81" i="1" a="1"/>
  <c r="C81" i="1" s="1"/>
  <c r="D81" i="1" a="1"/>
  <c r="D81" i="1" s="1"/>
  <c r="E81" i="1" a="1"/>
  <c r="E81" i="1" s="1"/>
  <c r="F81" i="1"/>
  <c r="G81" i="1"/>
  <c r="H81" i="1"/>
  <c r="J81" i="1" s="1"/>
  <c r="A215" i="1" a="1"/>
  <c r="A215" i="1" s="1"/>
  <c r="B215" i="1"/>
  <c r="C215" i="1" a="1"/>
  <c r="C215" i="1" s="1"/>
  <c r="D215" i="1" a="1"/>
  <c r="D215" i="1" s="1"/>
  <c r="E215" i="1" a="1"/>
  <c r="E215" i="1" s="1"/>
  <c r="F215" i="1"/>
  <c r="G215" i="1"/>
  <c r="H215" i="1"/>
  <c r="J215" i="1" s="1"/>
  <c r="A17" i="1" a="1"/>
  <c r="A17" i="1" s="1"/>
  <c r="B17" i="1"/>
  <c r="C17" i="1" a="1"/>
  <c r="C17" i="1" s="1"/>
  <c r="D17" i="1" a="1"/>
  <c r="D17" i="1" s="1"/>
  <c r="E17" i="1" a="1"/>
  <c r="E17" i="1" s="1"/>
  <c r="F17" i="1"/>
  <c r="G17" i="1"/>
  <c r="H17" i="1"/>
  <c r="J17" i="1" s="1"/>
  <c r="A216" i="1" a="1"/>
  <c r="A216" i="1" s="1"/>
  <c r="B216" i="1"/>
  <c r="C216" i="1" a="1"/>
  <c r="C216" i="1" s="1"/>
  <c r="D216" i="1" a="1"/>
  <c r="D216" i="1" s="1"/>
  <c r="E216" i="1" a="1"/>
  <c r="E216" i="1" s="1"/>
  <c r="F216" i="1"/>
  <c r="G216" i="1"/>
  <c r="H216" i="1"/>
  <c r="J216" i="1" s="1"/>
  <c r="A217" i="1" a="1"/>
  <c r="A217" i="1" s="1"/>
  <c r="B217" i="1"/>
  <c r="C217" i="1" a="1"/>
  <c r="C217" i="1" s="1"/>
  <c r="D217" i="1" a="1"/>
  <c r="D217" i="1" s="1"/>
  <c r="E217" i="1" a="1"/>
  <c r="E217" i="1" s="1"/>
  <c r="F217" i="1"/>
  <c r="G217" i="1"/>
  <c r="H217" i="1"/>
  <c r="A82" i="1" a="1"/>
  <c r="A82" i="1" s="1"/>
  <c r="B82" i="1"/>
  <c r="C82" i="1" a="1"/>
  <c r="C82" i="1" s="1"/>
  <c r="D82" i="1" a="1"/>
  <c r="D82" i="1" s="1"/>
  <c r="E82" i="1" a="1"/>
  <c r="E82" i="1" s="1"/>
  <c r="F82" i="1"/>
  <c r="G82" i="1"/>
  <c r="H82" i="1"/>
  <c r="J82" i="1" s="1"/>
  <c r="A423" i="1" a="1"/>
  <c r="A423" i="1" s="1"/>
  <c r="B423" i="1"/>
  <c r="C423" i="1" a="1"/>
  <c r="C423" i="1" s="1"/>
  <c r="D423" i="1" a="1"/>
  <c r="D423" i="1" s="1"/>
  <c r="E423" i="1" a="1"/>
  <c r="E423" i="1" s="1"/>
  <c r="F423" i="1"/>
  <c r="G423" i="1"/>
  <c r="H423" i="1"/>
  <c r="J423" i="1" s="1"/>
  <c r="A218" i="1" a="1"/>
  <c r="A218" i="1" s="1"/>
  <c r="B218" i="1"/>
  <c r="C218" i="1" a="1"/>
  <c r="C218" i="1" s="1"/>
  <c r="D218" i="1" a="1"/>
  <c r="D218" i="1" s="1"/>
  <c r="E218" i="1" a="1"/>
  <c r="E218" i="1" s="1"/>
  <c r="F218" i="1"/>
  <c r="G218" i="1"/>
  <c r="H218" i="1"/>
  <c r="J218" i="1" s="1"/>
  <c r="A83" i="1" a="1"/>
  <c r="A83" i="1" s="1"/>
  <c r="B83" i="1"/>
  <c r="C83" i="1" a="1"/>
  <c r="C83" i="1" s="1"/>
  <c r="D83" i="1" a="1"/>
  <c r="D83" i="1" s="1"/>
  <c r="E83" i="1" a="1"/>
  <c r="E83" i="1" s="1"/>
  <c r="F83" i="1"/>
  <c r="G83" i="1"/>
  <c r="H83" i="1"/>
  <c r="A18" i="1" a="1"/>
  <c r="A18" i="1" s="1"/>
  <c r="B18" i="1"/>
  <c r="C18" i="1" a="1"/>
  <c r="C18" i="1" s="1"/>
  <c r="D18" i="1" a="1"/>
  <c r="D18" i="1" s="1"/>
  <c r="E18" i="1" a="1"/>
  <c r="E18" i="1" s="1"/>
  <c r="F18" i="1"/>
  <c r="G18" i="1"/>
  <c r="H18" i="1"/>
  <c r="A354" i="1" a="1"/>
  <c r="A354" i="1" s="1"/>
  <c r="B354" i="1"/>
  <c r="C354" i="1" a="1"/>
  <c r="C354" i="1" s="1"/>
  <c r="D354" i="1" a="1"/>
  <c r="D354" i="1" s="1"/>
  <c r="E354" i="1" a="1"/>
  <c r="E354" i="1" s="1"/>
  <c r="F354" i="1"/>
  <c r="G354" i="1"/>
  <c r="H354" i="1"/>
  <c r="J354" i="1" s="1"/>
  <c r="A19" i="1" a="1"/>
  <c r="A19" i="1" s="1"/>
  <c r="B19" i="1"/>
  <c r="C19" i="1" a="1"/>
  <c r="C19" i="1" s="1"/>
  <c r="D19" i="1" a="1"/>
  <c r="D19" i="1" s="1"/>
  <c r="E19" i="1" a="1"/>
  <c r="E19" i="1" s="1"/>
  <c r="F19" i="1"/>
  <c r="G19" i="1"/>
  <c r="H19" i="1"/>
  <c r="J19" i="1" s="1"/>
  <c r="A285" i="1" a="1"/>
  <c r="A285" i="1" s="1"/>
  <c r="B285" i="1"/>
  <c r="C285" i="1" a="1"/>
  <c r="C285" i="1" s="1"/>
  <c r="D285" i="1" a="1"/>
  <c r="D285" i="1" s="1"/>
  <c r="E285" i="1" a="1"/>
  <c r="E285" i="1" s="1"/>
  <c r="F285" i="1"/>
  <c r="G285" i="1"/>
  <c r="H285" i="1"/>
  <c r="A424" i="1" a="1"/>
  <c r="A424" i="1" s="1"/>
  <c r="B424" i="1"/>
  <c r="C424" i="1" a="1"/>
  <c r="C424" i="1" s="1"/>
  <c r="D424" i="1" a="1"/>
  <c r="D424" i="1" s="1"/>
  <c r="E424" i="1" a="1"/>
  <c r="E424" i="1" s="1"/>
  <c r="F424" i="1"/>
  <c r="G424" i="1"/>
  <c r="H424" i="1"/>
  <c r="J424" i="1" s="1"/>
  <c r="A425" i="1" a="1"/>
  <c r="A425" i="1" s="1"/>
  <c r="B425" i="1"/>
  <c r="C425" i="1" a="1"/>
  <c r="C425" i="1" s="1"/>
  <c r="D425" i="1" a="1"/>
  <c r="D425" i="1" s="1"/>
  <c r="E425" i="1" a="1"/>
  <c r="E425" i="1" s="1"/>
  <c r="F425" i="1"/>
  <c r="G425" i="1"/>
  <c r="H425" i="1"/>
  <c r="A146" i="1" a="1"/>
  <c r="A146" i="1" s="1"/>
  <c r="B146" i="1"/>
  <c r="C146" i="1" a="1"/>
  <c r="C146" i="1" s="1"/>
  <c r="D146" i="1" a="1"/>
  <c r="D146" i="1" s="1"/>
  <c r="E146" i="1" a="1"/>
  <c r="E146" i="1" s="1"/>
  <c r="F146" i="1"/>
  <c r="G146" i="1"/>
  <c r="H146" i="1"/>
  <c r="J146" i="1" s="1"/>
  <c r="A219" i="1" a="1"/>
  <c r="A219" i="1" s="1"/>
  <c r="B219" i="1"/>
  <c r="C219" i="1" a="1"/>
  <c r="C219" i="1" s="1"/>
  <c r="D219" i="1" a="1"/>
  <c r="D219" i="1" s="1"/>
  <c r="E219" i="1" a="1"/>
  <c r="E219" i="1" s="1"/>
  <c r="F219" i="1"/>
  <c r="G219" i="1"/>
  <c r="H219" i="1"/>
  <c r="J219" i="1" s="1"/>
  <c r="A147" i="1" a="1"/>
  <c r="A147" i="1" s="1"/>
  <c r="B147" i="1"/>
  <c r="C147" i="1" a="1"/>
  <c r="C147" i="1" s="1"/>
  <c r="D147" i="1" a="1"/>
  <c r="D147" i="1" s="1"/>
  <c r="E147" i="1" a="1"/>
  <c r="E147" i="1" s="1"/>
  <c r="F147" i="1"/>
  <c r="G147" i="1"/>
  <c r="H147" i="1"/>
  <c r="A426" i="1" a="1"/>
  <c r="A426" i="1" s="1"/>
  <c r="B426" i="1"/>
  <c r="C426" i="1" a="1"/>
  <c r="C426" i="1" s="1"/>
  <c r="D426" i="1" a="1"/>
  <c r="D426" i="1" s="1"/>
  <c r="E426" i="1" a="1"/>
  <c r="E426" i="1" s="1"/>
  <c r="F426" i="1"/>
  <c r="G426" i="1"/>
  <c r="H426" i="1"/>
  <c r="A148" i="1" a="1"/>
  <c r="A148" i="1" s="1"/>
  <c r="B148" i="1"/>
  <c r="C148" i="1" a="1"/>
  <c r="C148" i="1" s="1"/>
  <c r="D148" i="1" a="1"/>
  <c r="D148" i="1" s="1"/>
  <c r="E148" i="1" a="1"/>
  <c r="E148" i="1" s="1"/>
  <c r="F148" i="1"/>
  <c r="G148" i="1"/>
  <c r="H148" i="1"/>
  <c r="J148" i="1" s="1"/>
  <c r="A20" i="1" a="1"/>
  <c r="A20" i="1" s="1"/>
  <c r="B20" i="1"/>
  <c r="C20" i="1" a="1"/>
  <c r="C20" i="1" s="1"/>
  <c r="D20" i="1" a="1"/>
  <c r="D20" i="1" s="1"/>
  <c r="E20" i="1" a="1"/>
  <c r="E20" i="1" s="1"/>
  <c r="F20" i="1"/>
  <c r="G20" i="1"/>
  <c r="H20" i="1"/>
  <c r="J20" i="1" s="1"/>
  <c r="A491" i="1" a="1"/>
  <c r="A491" i="1" s="1"/>
  <c r="B491" i="1"/>
  <c r="C491" i="1" a="1"/>
  <c r="C491" i="1" s="1"/>
  <c r="D491" i="1" a="1"/>
  <c r="D491" i="1" s="1"/>
  <c r="E491" i="1" a="1"/>
  <c r="E491" i="1" s="1"/>
  <c r="F491" i="1"/>
  <c r="G491" i="1"/>
  <c r="H491" i="1"/>
  <c r="J491" i="1" s="1"/>
  <c r="A220" i="1" a="1"/>
  <c r="A220" i="1" s="1"/>
  <c r="B220" i="1"/>
  <c r="C220" i="1" a="1"/>
  <c r="C220" i="1" s="1"/>
  <c r="D220" i="1" a="1"/>
  <c r="D220" i="1" s="1"/>
  <c r="E220" i="1" a="1"/>
  <c r="E220" i="1" s="1"/>
  <c r="F220" i="1"/>
  <c r="G220" i="1"/>
  <c r="H220" i="1"/>
  <c r="J220" i="1" s="1"/>
  <c r="A149" i="1" a="1"/>
  <c r="A149" i="1" s="1"/>
  <c r="B149" i="1"/>
  <c r="C149" i="1" a="1"/>
  <c r="C149" i="1" s="1"/>
  <c r="D149" i="1" a="1"/>
  <c r="D149" i="1" s="1"/>
  <c r="E149" i="1" a="1"/>
  <c r="E149" i="1" s="1"/>
  <c r="F149" i="1"/>
  <c r="G149" i="1"/>
  <c r="H149" i="1"/>
  <c r="A492" i="1" a="1"/>
  <c r="A492" i="1" s="1"/>
  <c r="B492" i="1"/>
  <c r="C492" i="1" a="1"/>
  <c r="C492" i="1" s="1"/>
  <c r="D492" i="1" a="1"/>
  <c r="D492" i="1" s="1"/>
  <c r="E492" i="1" a="1"/>
  <c r="E492" i="1" s="1"/>
  <c r="F492" i="1"/>
  <c r="G492" i="1"/>
  <c r="H492" i="1"/>
  <c r="A355" i="1" a="1"/>
  <c r="A355" i="1" s="1"/>
  <c r="B355" i="1"/>
  <c r="C355" i="1" a="1"/>
  <c r="C355" i="1" s="1"/>
  <c r="D355" i="1" a="1"/>
  <c r="D355" i="1" s="1"/>
  <c r="E355" i="1" a="1"/>
  <c r="E355" i="1" s="1"/>
  <c r="F355" i="1"/>
  <c r="G355" i="1"/>
  <c r="H355" i="1"/>
  <c r="J355" i="1" s="1"/>
  <c r="A150" i="1" a="1"/>
  <c r="A150" i="1" s="1"/>
  <c r="B150" i="1"/>
  <c r="C150" i="1" a="1"/>
  <c r="C150" i="1" s="1"/>
  <c r="D150" i="1" a="1"/>
  <c r="D150" i="1" s="1"/>
  <c r="E150" i="1" a="1"/>
  <c r="E150" i="1" s="1"/>
  <c r="F150" i="1"/>
  <c r="G150" i="1"/>
  <c r="H150" i="1"/>
  <c r="J150" i="1" s="1"/>
  <c r="A151" i="1" a="1"/>
  <c r="A151" i="1" s="1"/>
  <c r="B151" i="1"/>
  <c r="C151" i="1" a="1"/>
  <c r="C151" i="1" s="1"/>
  <c r="D151" i="1" a="1"/>
  <c r="D151" i="1" s="1"/>
  <c r="E151" i="1" a="1"/>
  <c r="E151" i="1" s="1"/>
  <c r="F151" i="1"/>
  <c r="G151" i="1"/>
  <c r="H151" i="1"/>
  <c r="J151" i="1" s="1"/>
  <c r="A84" i="1" a="1"/>
  <c r="A84" i="1" s="1"/>
  <c r="B84" i="1"/>
  <c r="C84" i="1" a="1"/>
  <c r="C84" i="1" s="1"/>
  <c r="D84" i="1" a="1"/>
  <c r="D84" i="1" s="1"/>
  <c r="E84" i="1" a="1"/>
  <c r="E84" i="1" s="1"/>
  <c r="F84" i="1"/>
  <c r="G84" i="1"/>
  <c r="H84" i="1"/>
  <c r="J84" i="1" s="1"/>
  <c r="A85" i="1" a="1"/>
  <c r="A85" i="1" s="1"/>
  <c r="B85" i="1"/>
  <c r="C85" i="1" a="1"/>
  <c r="C85" i="1" s="1"/>
  <c r="D85" i="1" a="1"/>
  <c r="D85" i="1" s="1"/>
  <c r="E85" i="1" a="1"/>
  <c r="E85" i="1" s="1"/>
  <c r="F85" i="1"/>
  <c r="G85" i="1"/>
  <c r="H85" i="1"/>
  <c r="J85" i="1" s="1"/>
  <c r="A427" i="1" a="1"/>
  <c r="A427" i="1" s="1"/>
  <c r="B427" i="1"/>
  <c r="C427" i="1" a="1"/>
  <c r="C427" i="1" s="1"/>
  <c r="D427" i="1" a="1"/>
  <c r="D427" i="1" s="1"/>
  <c r="E427" i="1" a="1"/>
  <c r="E427" i="1" s="1"/>
  <c r="F427" i="1"/>
  <c r="G427" i="1"/>
  <c r="H427" i="1"/>
  <c r="A86" i="1" a="1"/>
  <c r="A86" i="1" s="1"/>
  <c r="B86" i="1"/>
  <c r="C86" i="1" a="1"/>
  <c r="C86" i="1" s="1"/>
  <c r="D86" i="1" a="1"/>
  <c r="D86" i="1" s="1"/>
  <c r="E86" i="1" a="1"/>
  <c r="E86" i="1" s="1"/>
  <c r="F86" i="1"/>
  <c r="G86" i="1"/>
  <c r="H86" i="1"/>
  <c r="J86" i="1" s="1"/>
  <c r="A428" i="1" a="1"/>
  <c r="A428" i="1" s="1"/>
  <c r="B428" i="1"/>
  <c r="C428" i="1" a="1"/>
  <c r="C428" i="1" s="1"/>
  <c r="D428" i="1" a="1"/>
  <c r="D428" i="1" s="1"/>
  <c r="E428" i="1" a="1"/>
  <c r="E428" i="1" s="1"/>
  <c r="F428" i="1"/>
  <c r="G428" i="1"/>
  <c r="H428" i="1"/>
  <c r="J428" i="1" s="1"/>
  <c r="A356" i="1" a="1"/>
  <c r="A356" i="1" s="1"/>
  <c r="B356" i="1"/>
  <c r="C356" i="1" a="1"/>
  <c r="C356" i="1" s="1"/>
  <c r="D356" i="1" a="1"/>
  <c r="D356" i="1" s="1"/>
  <c r="E356" i="1" a="1"/>
  <c r="E356" i="1" s="1"/>
  <c r="F356" i="1"/>
  <c r="G356" i="1"/>
  <c r="H356" i="1"/>
  <c r="J356" i="1" s="1"/>
  <c r="A357" i="1" a="1"/>
  <c r="A357" i="1" s="1"/>
  <c r="B357" i="1"/>
  <c r="C357" i="1" a="1"/>
  <c r="C357" i="1" s="1"/>
  <c r="D357" i="1" a="1"/>
  <c r="D357" i="1" s="1"/>
  <c r="E357" i="1" a="1"/>
  <c r="E357" i="1" s="1"/>
  <c r="F357" i="1"/>
  <c r="G357" i="1"/>
  <c r="H357" i="1"/>
  <c r="J357" i="1" s="1"/>
  <c r="A358" i="1" a="1"/>
  <c r="A358" i="1" s="1"/>
  <c r="B358" i="1"/>
  <c r="C358" i="1" a="1"/>
  <c r="C358" i="1" s="1"/>
  <c r="D358" i="1" a="1"/>
  <c r="D358" i="1" s="1"/>
  <c r="E358" i="1" a="1"/>
  <c r="E358" i="1" s="1"/>
  <c r="F358" i="1"/>
  <c r="G358" i="1"/>
  <c r="H358" i="1"/>
  <c r="J358" i="1" s="1"/>
  <c r="A87" i="1" a="1"/>
  <c r="A87" i="1" s="1"/>
  <c r="B87" i="1"/>
  <c r="C87" i="1" a="1"/>
  <c r="C87" i="1" s="1"/>
  <c r="D87" i="1" a="1"/>
  <c r="D87" i="1" s="1"/>
  <c r="E87" i="1" a="1"/>
  <c r="E87" i="1" s="1"/>
  <c r="F87" i="1"/>
  <c r="G87" i="1"/>
  <c r="H87" i="1"/>
  <c r="J87" i="1" s="1"/>
  <c r="A359" i="1" a="1"/>
  <c r="A359" i="1" s="1"/>
  <c r="B359" i="1"/>
  <c r="C359" i="1" a="1"/>
  <c r="C359" i="1" s="1"/>
  <c r="D359" i="1" a="1"/>
  <c r="D359" i="1" s="1"/>
  <c r="E359" i="1" a="1"/>
  <c r="E359" i="1" s="1"/>
  <c r="F359" i="1"/>
  <c r="G359" i="1"/>
  <c r="H359" i="1"/>
  <c r="J359" i="1" s="1"/>
  <c r="A493" i="1" a="1"/>
  <c r="A493" i="1" s="1"/>
  <c r="B493" i="1"/>
  <c r="C493" i="1" a="1"/>
  <c r="C493" i="1" s="1"/>
  <c r="D493" i="1" a="1"/>
  <c r="D493" i="1" s="1"/>
  <c r="E493" i="1" a="1"/>
  <c r="E493" i="1" s="1"/>
  <c r="F493" i="1"/>
  <c r="G493" i="1"/>
  <c r="H493" i="1"/>
  <c r="J493" i="1" s="1"/>
  <c r="A221" i="1" a="1"/>
  <c r="A221" i="1" s="1"/>
  <c r="B221" i="1"/>
  <c r="C221" i="1" a="1"/>
  <c r="C221" i="1" s="1"/>
  <c r="D221" i="1" a="1"/>
  <c r="D221" i="1" s="1"/>
  <c r="E221" i="1" a="1"/>
  <c r="E221" i="1" s="1"/>
  <c r="F221" i="1"/>
  <c r="G221" i="1"/>
  <c r="H221" i="1"/>
  <c r="J221" i="1" s="1"/>
  <c r="A552" i="1" a="1"/>
  <c r="A552" i="1" s="1"/>
  <c r="B552" i="1"/>
  <c r="C552" i="1" a="1"/>
  <c r="C552" i="1" s="1"/>
  <c r="D552" i="1" a="1"/>
  <c r="D552" i="1" s="1"/>
  <c r="E552" i="1" a="1"/>
  <c r="E552" i="1" s="1"/>
  <c r="F552" i="1"/>
  <c r="G552" i="1"/>
  <c r="H552" i="1"/>
  <c r="J552" i="1" s="1"/>
  <c r="A604" i="1" a="1"/>
  <c r="A604" i="1" s="1"/>
  <c r="B604" i="1"/>
  <c r="C604" i="1" a="1"/>
  <c r="C604" i="1" s="1"/>
  <c r="D604" i="1" a="1"/>
  <c r="D604" i="1" s="1"/>
  <c r="E604" i="1" a="1"/>
  <c r="E604" i="1" s="1"/>
  <c r="F604" i="1"/>
  <c r="G604" i="1"/>
  <c r="H604" i="1"/>
  <c r="J604" i="1" s="1"/>
  <c r="A553" i="1" a="1"/>
  <c r="A553" i="1" s="1"/>
  <c r="B553" i="1"/>
  <c r="C553" i="1" a="1"/>
  <c r="C553" i="1" s="1"/>
  <c r="D553" i="1" a="1"/>
  <c r="D553" i="1" s="1"/>
  <c r="E553" i="1" a="1"/>
  <c r="E553" i="1" s="1"/>
  <c r="F553" i="1"/>
  <c r="G553" i="1"/>
  <c r="H553" i="1"/>
  <c r="J553" i="1" s="1"/>
  <c r="A286" i="1" a="1"/>
  <c r="A286" i="1" s="1"/>
  <c r="B286" i="1"/>
  <c r="C286" i="1" a="1"/>
  <c r="C286" i="1" s="1"/>
  <c r="D286" i="1" a="1"/>
  <c r="D286" i="1" s="1"/>
  <c r="E286" i="1" a="1"/>
  <c r="E286" i="1" s="1"/>
  <c r="F286" i="1"/>
  <c r="G286" i="1"/>
  <c r="H286" i="1"/>
  <c r="J286" i="1" s="1"/>
  <c r="A152" i="1" a="1"/>
  <c r="A152" i="1" s="1"/>
  <c r="B152" i="1"/>
  <c r="C152" i="1" a="1"/>
  <c r="C152" i="1" s="1"/>
  <c r="D152" i="1" a="1"/>
  <c r="D152" i="1" s="1"/>
  <c r="E152" i="1" a="1"/>
  <c r="E152" i="1" s="1"/>
  <c r="F152" i="1"/>
  <c r="G152" i="1"/>
  <c r="H152" i="1"/>
  <c r="J152" i="1" s="1"/>
  <c r="A494" i="1" a="1"/>
  <c r="A494" i="1" s="1"/>
  <c r="B494" i="1"/>
  <c r="C494" i="1" a="1"/>
  <c r="C494" i="1" s="1"/>
  <c r="D494" i="1" a="1"/>
  <c r="D494" i="1" s="1"/>
  <c r="E494" i="1" a="1"/>
  <c r="E494" i="1" s="1"/>
  <c r="F494" i="1"/>
  <c r="G494" i="1"/>
  <c r="H494" i="1"/>
  <c r="J494" i="1" s="1"/>
  <c r="A153" i="1" a="1"/>
  <c r="A153" i="1" s="1"/>
  <c r="B153" i="1"/>
  <c r="C153" i="1" a="1"/>
  <c r="C153" i="1" s="1"/>
  <c r="D153" i="1" a="1"/>
  <c r="D153" i="1" s="1"/>
  <c r="E153" i="1" a="1"/>
  <c r="E153" i="1" s="1"/>
  <c r="F153" i="1"/>
  <c r="G153" i="1"/>
  <c r="H153" i="1"/>
  <c r="J153" i="1" s="1"/>
  <c r="A605" i="1" a="1"/>
  <c r="A605" i="1" s="1"/>
  <c r="B605" i="1"/>
  <c r="C605" i="1" a="1"/>
  <c r="C605" i="1" s="1"/>
  <c r="D605" i="1" a="1"/>
  <c r="D605" i="1" s="1"/>
  <c r="E605" i="1" a="1"/>
  <c r="E605" i="1" s="1"/>
  <c r="F605" i="1"/>
  <c r="G605" i="1"/>
  <c r="H605" i="1"/>
  <c r="J605" i="1" s="1"/>
  <c r="A88" i="1" a="1"/>
  <c r="A88" i="1" s="1"/>
  <c r="B88" i="1"/>
  <c r="C88" i="1" a="1"/>
  <c r="C88" i="1" s="1"/>
  <c r="D88" i="1" a="1"/>
  <c r="D88" i="1" s="1"/>
  <c r="E88" i="1" a="1"/>
  <c r="E88" i="1" s="1"/>
  <c r="F88" i="1"/>
  <c r="G88" i="1"/>
  <c r="H88" i="1"/>
  <c r="J88" i="1" s="1"/>
  <c r="A89" i="1" a="1"/>
  <c r="A89" i="1" s="1"/>
  <c r="B89" i="1"/>
  <c r="C89" i="1" a="1"/>
  <c r="C89" i="1" s="1"/>
  <c r="D89" i="1" a="1"/>
  <c r="D89" i="1" s="1"/>
  <c r="E89" i="1" a="1"/>
  <c r="E89" i="1" s="1"/>
  <c r="F89" i="1"/>
  <c r="G89" i="1"/>
  <c r="H89" i="1"/>
  <c r="J89" i="1" s="1"/>
  <c r="A606" i="1" a="1"/>
  <c r="A606" i="1" s="1"/>
  <c r="B606" i="1"/>
  <c r="C606" i="1" a="1"/>
  <c r="C606" i="1" s="1"/>
  <c r="D606" i="1" a="1"/>
  <c r="D606" i="1" s="1"/>
  <c r="E606" i="1" a="1"/>
  <c r="E606" i="1" s="1"/>
  <c r="F606" i="1"/>
  <c r="G606" i="1"/>
  <c r="H606" i="1"/>
  <c r="J606" i="1" s="1"/>
  <c r="A90" i="1" a="1"/>
  <c r="A90" i="1" s="1"/>
  <c r="B90" i="1"/>
  <c r="C90" i="1" a="1"/>
  <c r="C90" i="1" s="1"/>
  <c r="D90" i="1" a="1"/>
  <c r="D90" i="1" s="1"/>
  <c r="E90" i="1" a="1"/>
  <c r="E90" i="1" s="1"/>
  <c r="F90" i="1"/>
  <c r="G90" i="1"/>
  <c r="H90" i="1"/>
  <c r="J90" i="1" s="1"/>
  <c r="A91" i="1" a="1"/>
  <c r="A91" i="1" s="1"/>
  <c r="B91" i="1"/>
  <c r="C91" i="1" a="1"/>
  <c r="C91" i="1" s="1"/>
  <c r="D91" i="1" a="1"/>
  <c r="D91" i="1" s="1"/>
  <c r="E91" i="1" a="1"/>
  <c r="E91" i="1" s="1"/>
  <c r="F91" i="1"/>
  <c r="G91" i="1"/>
  <c r="H91" i="1"/>
  <c r="J91" i="1" s="1"/>
  <c r="A92" i="1" a="1"/>
  <c r="A92" i="1" s="1"/>
  <c r="B92" i="1"/>
  <c r="C92" i="1" a="1"/>
  <c r="C92" i="1" s="1"/>
  <c r="D92" i="1" a="1"/>
  <c r="D92" i="1" s="1"/>
  <c r="E92" i="1" a="1"/>
  <c r="E92" i="1" s="1"/>
  <c r="F92" i="1"/>
  <c r="G92" i="1"/>
  <c r="H92" i="1"/>
  <c r="J92" i="1" s="1"/>
  <c r="A607" i="1" a="1"/>
  <c r="A607" i="1" s="1"/>
  <c r="B607" i="1"/>
  <c r="C607" i="1" a="1"/>
  <c r="C607" i="1" s="1"/>
  <c r="D607" i="1" a="1"/>
  <c r="D607" i="1" s="1"/>
  <c r="E607" i="1" a="1"/>
  <c r="E607" i="1" s="1"/>
  <c r="F607" i="1"/>
  <c r="G607" i="1"/>
  <c r="H607" i="1"/>
  <c r="A222" i="1" a="1"/>
  <c r="A222" i="1" s="1"/>
  <c r="B222" i="1"/>
  <c r="C222" i="1" a="1"/>
  <c r="C222" i="1" s="1"/>
  <c r="D222" i="1" a="1"/>
  <c r="D222" i="1" s="1"/>
  <c r="E222" i="1" a="1"/>
  <c r="E222" i="1" s="1"/>
  <c r="F222" i="1"/>
  <c r="G222" i="1"/>
  <c r="H222" i="1"/>
  <c r="J222" i="1" s="1"/>
  <c r="A93" i="1" a="1"/>
  <c r="A93" i="1" s="1"/>
  <c r="B93" i="1"/>
  <c r="C93" i="1" a="1"/>
  <c r="C93" i="1" s="1"/>
  <c r="D93" i="1" a="1"/>
  <c r="D93" i="1" s="1"/>
  <c r="E93" i="1" a="1"/>
  <c r="E93" i="1" s="1"/>
  <c r="F93" i="1"/>
  <c r="G93" i="1"/>
  <c r="H93" i="1"/>
  <c r="J93" i="1" s="1"/>
  <c r="A554" i="1" a="1"/>
  <c r="A554" i="1" s="1"/>
  <c r="B554" i="1"/>
  <c r="C554" i="1" a="1"/>
  <c r="C554" i="1" s="1"/>
  <c r="D554" i="1" a="1"/>
  <c r="D554" i="1" s="1"/>
  <c r="E554" i="1" a="1"/>
  <c r="E554" i="1" s="1"/>
  <c r="F554" i="1"/>
  <c r="G554" i="1"/>
  <c r="H554" i="1"/>
  <c r="J554" i="1" s="1"/>
  <c r="A21" i="1" a="1"/>
  <c r="A21" i="1" s="1"/>
  <c r="B21" i="1"/>
  <c r="C21" i="1" a="1"/>
  <c r="C21" i="1" s="1"/>
  <c r="D21" i="1" a="1"/>
  <c r="D21" i="1" s="1"/>
  <c r="E21" i="1" a="1"/>
  <c r="E21" i="1" s="1"/>
  <c r="F21" i="1"/>
  <c r="G21" i="1"/>
  <c r="H21" i="1"/>
  <c r="J21" i="1" s="1"/>
  <c r="A154" i="1" a="1"/>
  <c r="A154" i="1" s="1"/>
  <c r="B154" i="1"/>
  <c r="C154" i="1" a="1"/>
  <c r="C154" i="1" s="1"/>
  <c r="D154" i="1" a="1"/>
  <c r="D154" i="1" s="1"/>
  <c r="E154" i="1" a="1"/>
  <c r="E154" i="1" s="1"/>
  <c r="F154" i="1"/>
  <c r="G154" i="1"/>
  <c r="H154" i="1"/>
  <c r="J154" i="1" s="1"/>
  <c r="A287" i="1" a="1"/>
  <c r="A287" i="1" s="1"/>
  <c r="B287" i="1"/>
  <c r="C287" i="1" a="1"/>
  <c r="C287" i="1" s="1"/>
  <c r="D287" i="1" a="1"/>
  <c r="D287" i="1" s="1"/>
  <c r="E287" i="1" a="1"/>
  <c r="E287" i="1" s="1"/>
  <c r="F287" i="1"/>
  <c r="G287" i="1"/>
  <c r="H287" i="1"/>
  <c r="J287" i="1" s="1"/>
  <c r="A288" i="1" a="1"/>
  <c r="A288" i="1" s="1"/>
  <c r="B288" i="1"/>
  <c r="C288" i="1" a="1"/>
  <c r="C288" i="1" s="1"/>
  <c r="D288" i="1" a="1"/>
  <c r="D288" i="1" s="1"/>
  <c r="E288" i="1" a="1"/>
  <c r="E288" i="1" s="1"/>
  <c r="F288" i="1"/>
  <c r="G288" i="1"/>
  <c r="H288" i="1"/>
  <c r="J288" i="1" s="1"/>
  <c r="A223" i="1" a="1"/>
  <c r="A223" i="1" s="1"/>
  <c r="B223" i="1"/>
  <c r="C223" i="1" a="1"/>
  <c r="C223" i="1" s="1"/>
  <c r="D223" i="1" a="1"/>
  <c r="D223" i="1" s="1"/>
  <c r="E223" i="1" a="1"/>
  <c r="E223" i="1" s="1"/>
  <c r="F223" i="1"/>
  <c r="G223" i="1"/>
  <c r="H223" i="1"/>
  <c r="J223" i="1" s="1"/>
  <c r="A224" i="1" a="1"/>
  <c r="A224" i="1" s="1"/>
  <c r="B224" i="1"/>
  <c r="C224" i="1" a="1"/>
  <c r="C224" i="1" s="1"/>
  <c r="D224" i="1" a="1"/>
  <c r="D224" i="1" s="1"/>
  <c r="E224" i="1" a="1"/>
  <c r="E224" i="1" s="1"/>
  <c r="F224" i="1"/>
  <c r="G224" i="1"/>
  <c r="H224" i="1"/>
  <c r="J224" i="1" s="1"/>
  <c r="A429" i="1" a="1"/>
  <c r="A429" i="1" s="1"/>
  <c r="B429" i="1"/>
  <c r="C429" i="1" a="1"/>
  <c r="C429" i="1" s="1"/>
  <c r="D429" i="1" a="1"/>
  <c r="D429" i="1" s="1"/>
  <c r="E429" i="1" a="1"/>
  <c r="E429" i="1" s="1"/>
  <c r="F429" i="1"/>
  <c r="G429" i="1"/>
  <c r="H429" i="1"/>
  <c r="J429" i="1" s="1"/>
  <c r="A495" i="1" a="1"/>
  <c r="A495" i="1" s="1"/>
  <c r="B495" i="1"/>
  <c r="C495" i="1" a="1"/>
  <c r="C495" i="1" s="1"/>
  <c r="D495" i="1" a="1"/>
  <c r="D495" i="1" s="1"/>
  <c r="E495" i="1" a="1"/>
  <c r="E495" i="1" s="1"/>
  <c r="F495" i="1"/>
  <c r="G495" i="1"/>
  <c r="H495" i="1"/>
  <c r="J495" i="1" s="1"/>
  <c r="A430" i="1" a="1"/>
  <c r="A430" i="1" s="1"/>
  <c r="B430" i="1"/>
  <c r="C430" i="1" a="1"/>
  <c r="C430" i="1" s="1"/>
  <c r="D430" i="1" a="1"/>
  <c r="D430" i="1" s="1"/>
  <c r="E430" i="1" a="1"/>
  <c r="E430" i="1" s="1"/>
  <c r="F430" i="1"/>
  <c r="G430" i="1"/>
  <c r="H430" i="1"/>
  <c r="J430" i="1" s="1"/>
  <c r="A289" i="1" a="1"/>
  <c r="A289" i="1" s="1"/>
  <c r="B289" i="1"/>
  <c r="C289" i="1" a="1"/>
  <c r="C289" i="1" s="1"/>
  <c r="D289" i="1" a="1"/>
  <c r="D289" i="1" s="1"/>
  <c r="E289" i="1" a="1"/>
  <c r="E289" i="1" s="1"/>
  <c r="F289" i="1"/>
  <c r="G289" i="1"/>
  <c r="H289" i="1"/>
  <c r="J289" i="1" s="1"/>
  <c r="A555" i="1" a="1"/>
  <c r="A555" i="1" s="1"/>
  <c r="B555" i="1"/>
  <c r="C555" i="1" a="1"/>
  <c r="C555" i="1" s="1"/>
  <c r="D555" i="1" a="1"/>
  <c r="D555" i="1" s="1"/>
  <c r="E555" i="1" a="1"/>
  <c r="E555" i="1" s="1"/>
  <c r="F555" i="1"/>
  <c r="G555" i="1"/>
  <c r="H555" i="1"/>
  <c r="J555" i="1" s="1"/>
  <c r="A431" i="1" a="1"/>
  <c r="A431" i="1" s="1"/>
  <c r="B431" i="1"/>
  <c r="C431" i="1" a="1"/>
  <c r="C431" i="1" s="1"/>
  <c r="D431" i="1" a="1"/>
  <c r="D431" i="1" s="1"/>
  <c r="E431" i="1" a="1"/>
  <c r="E431" i="1" s="1"/>
  <c r="F431" i="1"/>
  <c r="G431" i="1"/>
  <c r="H431" i="1"/>
  <c r="J431" i="1" s="1"/>
  <c r="A360" i="1" a="1"/>
  <c r="A360" i="1" s="1"/>
  <c r="B360" i="1"/>
  <c r="C360" i="1" a="1"/>
  <c r="C360" i="1" s="1"/>
  <c r="D360" i="1" a="1"/>
  <c r="D360" i="1" s="1"/>
  <c r="E360" i="1" a="1"/>
  <c r="E360" i="1" s="1"/>
  <c r="F360" i="1"/>
  <c r="G360" i="1"/>
  <c r="H360" i="1"/>
  <c r="J360" i="1" s="1"/>
  <c r="A556" i="1" a="1"/>
  <c r="A556" i="1" s="1"/>
  <c r="B556" i="1"/>
  <c r="C556" i="1" a="1"/>
  <c r="C556" i="1" s="1"/>
  <c r="D556" i="1" a="1"/>
  <c r="D556" i="1" s="1"/>
  <c r="E556" i="1" a="1"/>
  <c r="E556" i="1" s="1"/>
  <c r="F556" i="1"/>
  <c r="G556" i="1"/>
  <c r="H556" i="1"/>
  <c r="J556" i="1" s="1"/>
  <c r="A361" i="1" a="1"/>
  <c r="A361" i="1" s="1"/>
  <c r="B361" i="1"/>
  <c r="C361" i="1" a="1"/>
  <c r="C361" i="1" s="1"/>
  <c r="D361" i="1" a="1"/>
  <c r="D361" i="1" s="1"/>
  <c r="E361" i="1" a="1"/>
  <c r="E361" i="1" s="1"/>
  <c r="F361" i="1"/>
  <c r="G361" i="1"/>
  <c r="H361" i="1"/>
  <c r="J361" i="1" s="1"/>
  <c r="A608" i="1" a="1"/>
  <c r="A608" i="1" s="1"/>
  <c r="B608" i="1"/>
  <c r="C608" i="1" a="1"/>
  <c r="C608" i="1" s="1"/>
  <c r="D608" i="1" a="1"/>
  <c r="D608" i="1" s="1"/>
  <c r="E608" i="1" a="1"/>
  <c r="E608" i="1" s="1"/>
  <c r="F608" i="1"/>
  <c r="G608" i="1"/>
  <c r="H608" i="1"/>
  <c r="J608" i="1" s="1"/>
  <c r="A362" i="1" a="1"/>
  <c r="A362" i="1" s="1"/>
  <c r="B362" i="1"/>
  <c r="C362" i="1" a="1"/>
  <c r="C362" i="1" s="1"/>
  <c r="D362" i="1" a="1"/>
  <c r="D362" i="1" s="1"/>
  <c r="E362" i="1" a="1"/>
  <c r="E362" i="1" s="1"/>
  <c r="F362" i="1"/>
  <c r="G362" i="1"/>
  <c r="H362" i="1"/>
  <c r="J362" i="1" s="1"/>
  <c r="A496" i="1" a="1"/>
  <c r="A496" i="1" s="1"/>
  <c r="B496" i="1"/>
  <c r="C496" i="1" a="1"/>
  <c r="C496" i="1" s="1"/>
  <c r="D496" i="1" a="1"/>
  <c r="D496" i="1" s="1"/>
  <c r="E496" i="1" a="1"/>
  <c r="E496" i="1" s="1"/>
  <c r="F496" i="1"/>
  <c r="G496" i="1"/>
  <c r="H496" i="1"/>
  <c r="J496" i="1" s="1"/>
  <c r="A22" i="1" a="1"/>
  <c r="A22" i="1"/>
  <c r="B22" i="1"/>
  <c r="C22" i="1" a="1"/>
  <c r="C22" i="1" s="1"/>
  <c r="D22" i="1" a="1"/>
  <c r="D22" i="1" s="1"/>
  <c r="E22" i="1" a="1"/>
  <c r="E22" i="1" s="1"/>
  <c r="F22" i="1"/>
  <c r="G22" i="1"/>
  <c r="H22" i="1"/>
  <c r="A23" i="1" a="1"/>
  <c r="A23" i="1" s="1"/>
  <c r="B23" i="1"/>
  <c r="C23" i="1" a="1"/>
  <c r="C23" i="1" s="1"/>
  <c r="D23" i="1" a="1"/>
  <c r="D23" i="1" s="1"/>
  <c r="E23" i="1" a="1"/>
  <c r="E23" i="1" s="1"/>
  <c r="F23" i="1"/>
  <c r="G23" i="1"/>
  <c r="H23" i="1"/>
  <c r="J23" i="1" s="1"/>
  <c r="A24" i="1" a="1"/>
  <c r="A24" i="1" s="1"/>
  <c r="B24" i="1"/>
  <c r="C24" i="1" a="1"/>
  <c r="C24" i="1" s="1"/>
  <c r="D24" i="1" a="1"/>
  <c r="D24" i="1" s="1"/>
  <c r="E24" i="1" a="1"/>
  <c r="E24" i="1" s="1"/>
  <c r="F24" i="1"/>
  <c r="G24" i="1"/>
  <c r="H24" i="1"/>
  <c r="J24" i="1" s="1"/>
  <c r="A363" i="1" a="1"/>
  <c r="A363" i="1" s="1"/>
  <c r="B363" i="1"/>
  <c r="C363" i="1" a="1"/>
  <c r="C363" i="1" s="1"/>
  <c r="D363" i="1" a="1"/>
  <c r="D363" i="1" s="1"/>
  <c r="E363" i="1" a="1"/>
  <c r="E363" i="1" s="1"/>
  <c r="F363" i="1"/>
  <c r="G363" i="1"/>
  <c r="H363" i="1"/>
  <c r="J363" i="1" s="1"/>
  <c r="A557" i="1" a="1"/>
  <c r="A557" i="1" s="1"/>
  <c r="B557" i="1"/>
  <c r="C557" i="1" a="1"/>
  <c r="C557" i="1" s="1"/>
  <c r="D557" i="1" a="1"/>
  <c r="D557" i="1" s="1"/>
  <c r="E557" i="1" a="1"/>
  <c r="E557" i="1" s="1"/>
  <c r="F557" i="1"/>
  <c r="G557" i="1"/>
  <c r="H557" i="1"/>
  <c r="J557" i="1" s="1"/>
  <c r="A609" i="1" a="1"/>
  <c r="A609" i="1" s="1"/>
  <c r="B609" i="1"/>
  <c r="C609" i="1" a="1"/>
  <c r="C609" i="1" s="1"/>
  <c r="D609" i="1" a="1"/>
  <c r="D609" i="1" s="1"/>
  <c r="E609" i="1" a="1"/>
  <c r="E609" i="1" s="1"/>
  <c r="F609" i="1"/>
  <c r="G609" i="1"/>
  <c r="H609" i="1"/>
  <c r="J609" i="1" s="1"/>
  <c r="A290" i="1" a="1"/>
  <c r="A290" i="1" s="1"/>
  <c r="B290" i="1"/>
  <c r="C290" i="1" a="1"/>
  <c r="C290" i="1" s="1"/>
  <c r="D290" i="1" a="1"/>
  <c r="D290" i="1" s="1"/>
  <c r="E290" i="1" a="1"/>
  <c r="E290" i="1" s="1"/>
  <c r="F290" i="1"/>
  <c r="G290" i="1"/>
  <c r="H290" i="1"/>
  <c r="J290" i="1" s="1"/>
  <c r="A291" i="1" a="1"/>
  <c r="A291" i="1" s="1"/>
  <c r="B291" i="1"/>
  <c r="C291" i="1" a="1"/>
  <c r="C291" i="1" s="1"/>
  <c r="D291" i="1" a="1"/>
  <c r="D291" i="1" s="1"/>
  <c r="E291" i="1" a="1"/>
  <c r="E291" i="1" s="1"/>
  <c r="F291" i="1"/>
  <c r="G291" i="1"/>
  <c r="H291" i="1"/>
  <c r="J291" i="1" s="1"/>
  <c r="A155" i="1" a="1"/>
  <c r="A155" i="1" s="1"/>
  <c r="B155" i="1"/>
  <c r="C155" i="1" a="1"/>
  <c r="C155" i="1" s="1"/>
  <c r="D155" i="1" a="1"/>
  <c r="D155" i="1" s="1"/>
  <c r="E155" i="1" a="1"/>
  <c r="E155" i="1" s="1"/>
  <c r="F155" i="1"/>
  <c r="G155" i="1"/>
  <c r="H155" i="1"/>
  <c r="J155" i="1" s="1"/>
  <c r="A432" i="1" a="1"/>
  <c r="A432" i="1" s="1"/>
  <c r="B432" i="1"/>
  <c r="C432" i="1" a="1"/>
  <c r="C432" i="1" s="1"/>
  <c r="D432" i="1" a="1"/>
  <c r="D432" i="1" s="1"/>
  <c r="E432" i="1" a="1"/>
  <c r="E432" i="1" s="1"/>
  <c r="F432" i="1"/>
  <c r="G432" i="1"/>
  <c r="H432" i="1"/>
  <c r="J432" i="1" s="1"/>
  <c r="A497" i="1" a="1"/>
  <c r="A497" i="1" s="1"/>
  <c r="B497" i="1"/>
  <c r="C497" i="1" a="1"/>
  <c r="C497" i="1" s="1"/>
  <c r="D497" i="1" a="1"/>
  <c r="D497" i="1" s="1"/>
  <c r="E497" i="1" a="1"/>
  <c r="E497" i="1" s="1"/>
  <c r="F497" i="1"/>
  <c r="G497" i="1"/>
  <c r="H497" i="1"/>
  <c r="J497" i="1" s="1"/>
  <c r="A498" i="1" a="1"/>
  <c r="A498" i="1" s="1"/>
  <c r="B498" i="1"/>
  <c r="C498" i="1" a="1"/>
  <c r="C498" i="1" s="1"/>
  <c r="D498" i="1" a="1"/>
  <c r="D498" i="1" s="1"/>
  <c r="E498" i="1" a="1"/>
  <c r="E498" i="1" s="1"/>
  <c r="F498" i="1"/>
  <c r="G498" i="1"/>
  <c r="H498" i="1"/>
  <c r="A499" i="1" a="1"/>
  <c r="A499" i="1" s="1"/>
  <c r="B499" i="1"/>
  <c r="C499" i="1" a="1"/>
  <c r="C499" i="1" s="1"/>
  <c r="D499" i="1" a="1"/>
  <c r="D499" i="1" s="1"/>
  <c r="E499" i="1" a="1"/>
  <c r="E499" i="1" s="1"/>
  <c r="F499" i="1"/>
  <c r="G499" i="1"/>
  <c r="H499" i="1"/>
  <c r="J499" i="1" s="1"/>
  <c r="A558" i="1" a="1"/>
  <c r="A558" i="1" s="1"/>
  <c r="B558" i="1"/>
  <c r="C558" i="1" a="1"/>
  <c r="C558" i="1" s="1"/>
  <c r="D558" i="1" a="1"/>
  <c r="D558" i="1" s="1"/>
  <c r="E558" i="1" a="1"/>
  <c r="E558" i="1" s="1"/>
  <c r="F558" i="1"/>
  <c r="G558" i="1"/>
  <c r="H558" i="1"/>
  <c r="J558" i="1" s="1"/>
  <c r="A156" i="1" a="1"/>
  <c r="A156" i="1" s="1"/>
  <c r="B156" i="1"/>
  <c r="C156" i="1" a="1"/>
  <c r="C156" i="1" s="1"/>
  <c r="D156" i="1" a="1"/>
  <c r="D156" i="1" s="1"/>
  <c r="E156" i="1" a="1"/>
  <c r="E156" i="1" s="1"/>
  <c r="F156" i="1"/>
  <c r="G156" i="1"/>
  <c r="H156" i="1"/>
  <c r="J156" i="1" s="1"/>
  <c r="A25" i="1" a="1"/>
  <c r="A25" i="1" s="1"/>
  <c r="B25" i="1"/>
  <c r="C25" i="1" a="1"/>
  <c r="C25" i="1" s="1"/>
  <c r="D25" i="1" a="1"/>
  <c r="D25" i="1" s="1"/>
  <c r="E25" i="1" a="1"/>
  <c r="E25" i="1" s="1"/>
  <c r="F25" i="1"/>
  <c r="G25" i="1"/>
  <c r="H25" i="1"/>
  <c r="J25" i="1" s="1"/>
  <c r="A292" i="1" a="1"/>
  <c r="A292" i="1" s="1"/>
  <c r="B292" i="1"/>
  <c r="C292" i="1" a="1"/>
  <c r="C292" i="1" s="1"/>
  <c r="D292" i="1" a="1"/>
  <c r="D292" i="1" s="1"/>
  <c r="E292" i="1" a="1"/>
  <c r="E292" i="1" s="1"/>
  <c r="F292" i="1"/>
  <c r="G292" i="1"/>
  <c r="H292" i="1"/>
  <c r="J292" i="1" s="1"/>
  <c r="A94" i="1" a="1"/>
  <c r="A94" i="1" s="1"/>
  <c r="B94" i="1"/>
  <c r="C94" i="1" a="1"/>
  <c r="C94" i="1" s="1"/>
  <c r="D94" i="1" a="1"/>
  <c r="D94" i="1" s="1"/>
  <c r="E94" i="1" a="1"/>
  <c r="E94" i="1" s="1"/>
  <c r="F94" i="1"/>
  <c r="G94" i="1"/>
  <c r="H94" i="1"/>
  <c r="J94" i="1" s="1"/>
  <c r="A26" i="1" a="1"/>
  <c r="A26" i="1" s="1"/>
  <c r="B26" i="1"/>
  <c r="C26" i="1" a="1"/>
  <c r="C26" i="1" s="1"/>
  <c r="D26" i="1" a="1"/>
  <c r="D26" i="1" s="1"/>
  <c r="E26" i="1" a="1"/>
  <c r="E26" i="1" s="1"/>
  <c r="F26" i="1"/>
  <c r="G26" i="1"/>
  <c r="H26" i="1"/>
  <c r="J26" i="1" s="1"/>
  <c r="A293" i="1" a="1"/>
  <c r="A293" i="1" s="1"/>
  <c r="B293" i="1"/>
  <c r="C293" i="1" a="1"/>
  <c r="C293" i="1" s="1"/>
  <c r="D293" i="1" a="1"/>
  <c r="D293" i="1" s="1"/>
  <c r="E293" i="1" a="1"/>
  <c r="E293" i="1" s="1"/>
  <c r="F293" i="1"/>
  <c r="G293" i="1"/>
  <c r="H293" i="1"/>
  <c r="J293" i="1" s="1"/>
  <c r="A225" i="1" a="1"/>
  <c r="A225" i="1" s="1"/>
  <c r="B225" i="1"/>
  <c r="C225" i="1" a="1"/>
  <c r="C225" i="1" s="1"/>
  <c r="D225" i="1" a="1"/>
  <c r="D225" i="1" s="1"/>
  <c r="E225" i="1" a="1"/>
  <c r="E225" i="1" s="1"/>
  <c r="F225" i="1"/>
  <c r="G225" i="1"/>
  <c r="H225" i="1"/>
  <c r="J225" i="1" s="1"/>
  <c r="A559" i="1" a="1"/>
  <c r="A559" i="1" s="1"/>
  <c r="B559" i="1"/>
  <c r="C559" i="1" a="1"/>
  <c r="C559" i="1" s="1"/>
  <c r="D559" i="1" a="1"/>
  <c r="D559" i="1" s="1"/>
  <c r="E559" i="1" a="1"/>
  <c r="E559" i="1" s="1"/>
  <c r="F559" i="1"/>
  <c r="G559" i="1"/>
  <c r="H559" i="1"/>
  <c r="J559" i="1" s="1"/>
  <c r="A500" i="1" a="1"/>
  <c r="A500" i="1" s="1"/>
  <c r="B500" i="1"/>
  <c r="C500" i="1" a="1"/>
  <c r="C500" i="1" s="1"/>
  <c r="D500" i="1" a="1"/>
  <c r="D500" i="1" s="1"/>
  <c r="E500" i="1" a="1"/>
  <c r="E500" i="1" s="1"/>
  <c r="F500" i="1"/>
  <c r="G500" i="1"/>
  <c r="H500" i="1"/>
  <c r="A226" i="1" a="1"/>
  <c r="A226" i="1" s="1"/>
  <c r="B226" i="1"/>
  <c r="C226" i="1" a="1"/>
  <c r="C226" i="1" s="1"/>
  <c r="D226" i="1" a="1"/>
  <c r="D226" i="1" s="1"/>
  <c r="E226" i="1" a="1"/>
  <c r="E226" i="1" s="1"/>
  <c r="F226" i="1"/>
  <c r="G226" i="1"/>
  <c r="H226" i="1"/>
  <c r="J226" i="1" s="1"/>
  <c r="A610" i="1" a="1"/>
  <c r="A610" i="1" s="1"/>
  <c r="B610" i="1"/>
  <c r="C610" i="1" a="1"/>
  <c r="C610" i="1" s="1"/>
  <c r="D610" i="1" a="1"/>
  <c r="D610" i="1" s="1"/>
  <c r="E610" i="1" a="1"/>
  <c r="E610" i="1" s="1"/>
  <c r="F610" i="1"/>
  <c r="G610" i="1"/>
  <c r="H610" i="1"/>
  <c r="J610" i="1" s="1"/>
  <c r="A294" i="1" a="1"/>
  <c r="A294" i="1" s="1"/>
  <c r="B294" i="1"/>
  <c r="C294" i="1" a="1"/>
  <c r="C294" i="1" s="1"/>
  <c r="D294" i="1" a="1"/>
  <c r="D294" i="1" s="1"/>
  <c r="E294" i="1" a="1"/>
  <c r="E294" i="1" s="1"/>
  <c r="F294" i="1"/>
  <c r="G294" i="1"/>
  <c r="H294" i="1"/>
  <c r="J294" i="1" s="1"/>
  <c r="A433" i="1" a="1"/>
  <c r="A433" i="1" s="1"/>
  <c r="B433" i="1"/>
  <c r="C433" i="1" a="1"/>
  <c r="C433" i="1" s="1"/>
  <c r="D433" i="1" a="1"/>
  <c r="D433" i="1" s="1"/>
  <c r="E433" i="1" a="1"/>
  <c r="E433" i="1" s="1"/>
  <c r="F433" i="1"/>
  <c r="G433" i="1"/>
  <c r="H433" i="1"/>
  <c r="J433" i="1" s="1"/>
  <c r="A611" i="1" a="1"/>
  <c r="A611" i="1" s="1"/>
  <c r="B611" i="1"/>
  <c r="C611" i="1" a="1"/>
  <c r="C611" i="1" s="1"/>
  <c r="D611" i="1" a="1"/>
  <c r="D611" i="1" s="1"/>
  <c r="E611" i="1" a="1"/>
  <c r="E611" i="1" s="1"/>
  <c r="F611" i="1"/>
  <c r="G611" i="1"/>
  <c r="H611" i="1"/>
  <c r="J611" i="1" s="1"/>
  <c r="A501" i="1" a="1"/>
  <c r="A501" i="1" s="1"/>
  <c r="B501" i="1"/>
  <c r="C501" i="1" a="1"/>
  <c r="C501" i="1" s="1"/>
  <c r="D501" i="1" a="1"/>
  <c r="D501" i="1" s="1"/>
  <c r="E501" i="1" a="1"/>
  <c r="E501" i="1" s="1"/>
  <c r="F501" i="1"/>
  <c r="G501" i="1"/>
  <c r="H501" i="1"/>
  <c r="A27" i="1" a="1"/>
  <c r="A27" i="1" s="1"/>
  <c r="B27" i="1"/>
  <c r="C27" i="1" a="1"/>
  <c r="C27" i="1" s="1"/>
  <c r="D27" i="1" a="1"/>
  <c r="D27" i="1" s="1"/>
  <c r="E27" i="1" a="1"/>
  <c r="E27" i="1" s="1"/>
  <c r="F27" i="1"/>
  <c r="G27" i="1"/>
  <c r="H27" i="1"/>
  <c r="J27" i="1" s="1"/>
  <c r="A612" i="1" a="1"/>
  <c r="A612" i="1" s="1"/>
  <c r="B612" i="1"/>
  <c r="C612" i="1" a="1"/>
  <c r="C612" i="1" s="1"/>
  <c r="D612" i="1" a="1"/>
  <c r="D612" i="1" s="1"/>
  <c r="E612" i="1" a="1"/>
  <c r="E612" i="1" s="1"/>
  <c r="F612" i="1"/>
  <c r="G612" i="1"/>
  <c r="H612" i="1"/>
  <c r="J612" i="1" s="1"/>
  <c r="A434" i="1" a="1"/>
  <c r="A434" i="1" s="1"/>
  <c r="B434" i="1"/>
  <c r="C434" i="1" a="1"/>
  <c r="C434" i="1" s="1"/>
  <c r="D434" i="1" a="1"/>
  <c r="D434" i="1" s="1"/>
  <c r="E434" i="1" a="1"/>
  <c r="E434" i="1" s="1"/>
  <c r="F434" i="1"/>
  <c r="G434" i="1"/>
  <c r="H434" i="1"/>
  <c r="A295" i="1" a="1"/>
  <c r="A295" i="1" s="1"/>
  <c r="B295" i="1"/>
  <c r="C295" i="1" a="1"/>
  <c r="C295" i="1" s="1"/>
  <c r="D295" i="1" a="1"/>
  <c r="D295" i="1" s="1"/>
  <c r="E295" i="1" a="1"/>
  <c r="E295" i="1" s="1"/>
  <c r="F295" i="1"/>
  <c r="G295" i="1"/>
  <c r="H295" i="1"/>
  <c r="J295" i="1" s="1"/>
  <c r="A157" i="1" a="1"/>
  <c r="A157" i="1" s="1"/>
  <c r="B157" i="1"/>
  <c r="C157" i="1" a="1"/>
  <c r="C157" i="1" s="1"/>
  <c r="D157" i="1" a="1"/>
  <c r="D157" i="1" s="1"/>
  <c r="E157" i="1" a="1"/>
  <c r="E157" i="1" s="1"/>
  <c r="F157" i="1"/>
  <c r="G157" i="1"/>
  <c r="H157" i="1"/>
  <c r="J157" i="1" s="1"/>
  <c r="A560" i="1" a="1"/>
  <c r="A560" i="1" s="1"/>
  <c r="B560" i="1"/>
  <c r="C560" i="1" a="1"/>
  <c r="C560" i="1" s="1"/>
  <c r="D560" i="1" a="1"/>
  <c r="D560" i="1" s="1"/>
  <c r="E560" i="1" a="1"/>
  <c r="E560" i="1" s="1"/>
  <c r="F560" i="1"/>
  <c r="G560" i="1"/>
  <c r="H560" i="1"/>
  <c r="J560" i="1" s="1"/>
  <c r="A158" i="1" a="1"/>
  <c r="A158" i="1" s="1"/>
  <c r="B158" i="1"/>
  <c r="C158" i="1" a="1"/>
  <c r="C158" i="1" s="1"/>
  <c r="D158" i="1" a="1"/>
  <c r="D158" i="1" s="1"/>
  <c r="E158" i="1" a="1"/>
  <c r="E158" i="1" s="1"/>
  <c r="F158" i="1"/>
  <c r="G158" i="1"/>
  <c r="H158" i="1"/>
  <c r="J158" i="1" s="1"/>
  <c r="A435" i="1" a="1"/>
  <c r="A435" i="1" s="1"/>
  <c r="B435" i="1"/>
  <c r="C435" i="1" a="1"/>
  <c r="C435" i="1" s="1"/>
  <c r="D435" i="1" a="1"/>
  <c r="D435" i="1" s="1"/>
  <c r="E435" i="1" a="1"/>
  <c r="E435" i="1" s="1"/>
  <c r="F435" i="1"/>
  <c r="G435" i="1"/>
  <c r="H435" i="1"/>
  <c r="J435" i="1" s="1"/>
  <c r="A613" i="1" a="1"/>
  <c r="A613" i="1" s="1"/>
  <c r="B613" i="1"/>
  <c r="C613" i="1" a="1"/>
  <c r="C613" i="1" s="1"/>
  <c r="D613" i="1" a="1"/>
  <c r="D613" i="1" s="1"/>
  <c r="E613" i="1" a="1"/>
  <c r="E613" i="1" s="1"/>
  <c r="F613" i="1"/>
  <c r="G613" i="1"/>
  <c r="H613" i="1"/>
  <c r="J613" i="1" s="1"/>
  <c r="A28" i="1" a="1"/>
  <c r="A28" i="1" s="1"/>
  <c r="B28" i="1"/>
  <c r="C28" i="1" a="1"/>
  <c r="C28" i="1" s="1"/>
  <c r="D28" i="1" a="1"/>
  <c r="D28" i="1" s="1"/>
  <c r="E28" i="1" a="1"/>
  <c r="E28" i="1" s="1"/>
  <c r="F28" i="1"/>
  <c r="G28" i="1"/>
  <c r="H28" i="1"/>
  <c r="J28" i="1" s="1"/>
  <c r="A227" i="1" a="1"/>
  <c r="A227" i="1" s="1"/>
  <c r="B227" i="1"/>
  <c r="C227" i="1" a="1"/>
  <c r="C227" i="1" s="1"/>
  <c r="D227" i="1" a="1"/>
  <c r="D227" i="1" s="1"/>
  <c r="E227" i="1" a="1"/>
  <c r="E227" i="1" s="1"/>
  <c r="F227" i="1"/>
  <c r="G227" i="1"/>
  <c r="H227" i="1"/>
  <c r="J227" i="1" s="1"/>
  <c r="A436" i="1" a="1"/>
  <c r="A436" i="1" s="1"/>
  <c r="B436" i="1"/>
  <c r="C436" i="1" a="1"/>
  <c r="C436" i="1" s="1"/>
  <c r="D436" i="1" a="1"/>
  <c r="D436" i="1" s="1"/>
  <c r="E436" i="1" a="1"/>
  <c r="E436" i="1" s="1"/>
  <c r="F436" i="1"/>
  <c r="G436" i="1"/>
  <c r="H436" i="1"/>
  <c r="J436" i="1" s="1"/>
  <c r="A29" i="1" a="1"/>
  <c r="A29" i="1" s="1"/>
  <c r="B29" i="1"/>
  <c r="C29" i="1" a="1"/>
  <c r="C29" i="1" s="1"/>
  <c r="D29" i="1" a="1"/>
  <c r="D29" i="1" s="1"/>
  <c r="E29" i="1" a="1"/>
  <c r="E29" i="1" s="1"/>
  <c r="F29" i="1"/>
  <c r="G29" i="1"/>
  <c r="H29" i="1"/>
  <c r="J29" i="1" s="1"/>
  <c r="A614" i="1" a="1"/>
  <c r="A614" i="1" s="1"/>
  <c r="B614" i="1"/>
  <c r="C614" i="1" a="1"/>
  <c r="C614" i="1" s="1"/>
  <c r="D614" i="1" a="1"/>
  <c r="D614" i="1" s="1"/>
  <c r="E614" i="1" a="1"/>
  <c r="E614" i="1" s="1"/>
  <c r="F614" i="1"/>
  <c r="G614" i="1"/>
  <c r="H614" i="1"/>
  <c r="J614" i="1" s="1"/>
  <c r="A615" i="1" a="1"/>
  <c r="A615" i="1" s="1"/>
  <c r="B615" i="1"/>
  <c r="C615" i="1" a="1"/>
  <c r="C615" i="1" s="1"/>
  <c r="D615" i="1" a="1"/>
  <c r="D615" i="1" s="1"/>
  <c r="E615" i="1" a="1"/>
  <c r="E615" i="1" s="1"/>
  <c r="F615" i="1"/>
  <c r="G615" i="1"/>
  <c r="H615" i="1"/>
  <c r="J615" i="1" s="1"/>
  <c r="A437" i="1" a="1"/>
  <c r="A437" i="1" s="1"/>
  <c r="B437" i="1"/>
  <c r="C437" i="1" a="1"/>
  <c r="C437" i="1" s="1"/>
  <c r="D437" i="1" a="1"/>
  <c r="D437" i="1" s="1"/>
  <c r="E437" i="1" a="1"/>
  <c r="E437" i="1" s="1"/>
  <c r="F437" i="1"/>
  <c r="G437" i="1"/>
  <c r="H437" i="1"/>
  <c r="A228" i="1" a="1"/>
  <c r="A228" i="1" s="1"/>
  <c r="B228" i="1"/>
  <c r="C228" i="1" a="1"/>
  <c r="C228" i="1" s="1"/>
  <c r="D228" i="1" a="1"/>
  <c r="D228" i="1" s="1"/>
  <c r="E228" i="1" a="1"/>
  <c r="E228" i="1" s="1"/>
  <c r="F228" i="1"/>
  <c r="G228" i="1"/>
  <c r="H228" i="1"/>
  <c r="J228" i="1" s="1"/>
  <c r="A616" i="1" a="1"/>
  <c r="A616" i="1" s="1"/>
  <c r="B616" i="1"/>
  <c r="C616" i="1" a="1"/>
  <c r="C616" i="1" s="1"/>
  <c r="D616" i="1" a="1"/>
  <c r="D616" i="1" s="1"/>
  <c r="E616" i="1" a="1"/>
  <c r="E616" i="1" s="1"/>
  <c r="F616" i="1"/>
  <c r="G616" i="1"/>
  <c r="H616" i="1"/>
  <c r="J616" i="1" s="1"/>
  <c r="A229" i="1" a="1"/>
  <c r="A229" i="1" s="1"/>
  <c r="B229" i="1"/>
  <c r="C229" i="1" a="1"/>
  <c r="C229" i="1" s="1"/>
  <c r="D229" i="1" a="1"/>
  <c r="D229" i="1" s="1"/>
  <c r="E229" i="1" a="1"/>
  <c r="E229" i="1" s="1"/>
  <c r="F229" i="1"/>
  <c r="G229" i="1"/>
  <c r="H229" i="1"/>
  <c r="J229" i="1" s="1"/>
  <c r="A159" i="1" a="1"/>
  <c r="A159" i="1" s="1"/>
  <c r="B159" i="1"/>
  <c r="C159" i="1" a="1"/>
  <c r="C159" i="1" s="1"/>
  <c r="D159" i="1" a="1"/>
  <c r="D159" i="1" s="1"/>
  <c r="E159" i="1" a="1"/>
  <c r="E159" i="1" s="1"/>
  <c r="F159" i="1"/>
  <c r="G159" i="1"/>
  <c r="H159" i="1"/>
  <c r="J159" i="1" s="1"/>
  <c r="A364" i="1" a="1"/>
  <c r="A364" i="1" s="1"/>
  <c r="B364" i="1"/>
  <c r="C364" i="1" a="1"/>
  <c r="C364" i="1" s="1"/>
  <c r="D364" i="1" a="1"/>
  <c r="D364" i="1" s="1"/>
  <c r="E364" i="1" a="1"/>
  <c r="E364" i="1" s="1"/>
  <c r="F364" i="1"/>
  <c r="G364" i="1"/>
  <c r="H364" i="1"/>
  <c r="J364" i="1" s="1"/>
  <c r="A296" i="1" a="1"/>
  <c r="A296" i="1" s="1"/>
  <c r="B296" i="1"/>
  <c r="C296" i="1" a="1"/>
  <c r="C296" i="1" s="1"/>
  <c r="D296" i="1" a="1"/>
  <c r="D296" i="1" s="1"/>
  <c r="E296" i="1" a="1"/>
  <c r="E296" i="1" s="1"/>
  <c r="F296" i="1"/>
  <c r="G296" i="1"/>
  <c r="H296" i="1"/>
  <c r="J296" i="1" s="1"/>
  <c r="A365" i="1" a="1"/>
  <c r="A365" i="1" s="1"/>
  <c r="B365" i="1"/>
  <c r="C365" i="1" a="1"/>
  <c r="C365" i="1" s="1"/>
  <c r="D365" i="1" a="1"/>
  <c r="D365" i="1" s="1"/>
  <c r="E365" i="1" a="1"/>
  <c r="E365" i="1" s="1"/>
  <c r="F365" i="1"/>
  <c r="G365" i="1"/>
  <c r="H365" i="1"/>
  <c r="J365" i="1" s="1"/>
  <c r="A95" i="1" a="1"/>
  <c r="A95" i="1" s="1"/>
  <c r="B95" i="1"/>
  <c r="C95" i="1" a="1"/>
  <c r="C95" i="1" s="1"/>
  <c r="D95" i="1" a="1"/>
  <c r="D95" i="1" s="1"/>
  <c r="E95" i="1" a="1"/>
  <c r="E95" i="1" s="1"/>
  <c r="F95" i="1"/>
  <c r="G95" i="1"/>
  <c r="H95" i="1"/>
  <c r="A160" i="1" a="1"/>
  <c r="A160" i="1" s="1"/>
  <c r="B160" i="1"/>
  <c r="C160" i="1" a="1"/>
  <c r="C160" i="1" s="1"/>
  <c r="D160" i="1" a="1"/>
  <c r="D160" i="1" s="1"/>
  <c r="E160" i="1" a="1"/>
  <c r="E160" i="1" s="1"/>
  <c r="F160" i="1"/>
  <c r="G160" i="1"/>
  <c r="H160" i="1"/>
  <c r="J160" i="1" s="1"/>
  <c r="A96" i="1" a="1"/>
  <c r="A96" i="1" s="1"/>
  <c r="B96" i="1"/>
  <c r="C96" i="1" a="1"/>
  <c r="C96" i="1" s="1"/>
  <c r="D96" i="1" a="1"/>
  <c r="D96" i="1" s="1"/>
  <c r="E96" i="1" a="1"/>
  <c r="E96" i="1" s="1"/>
  <c r="F96" i="1"/>
  <c r="G96" i="1"/>
  <c r="H96" i="1"/>
  <c r="J96" i="1" s="1"/>
  <c r="A617" i="1" a="1"/>
  <c r="A617" i="1" s="1"/>
  <c r="B617" i="1"/>
  <c r="C617" i="1" a="1"/>
  <c r="C617" i="1" s="1"/>
  <c r="D617" i="1" a="1"/>
  <c r="D617" i="1" s="1"/>
  <c r="E617" i="1" a="1"/>
  <c r="E617" i="1" s="1"/>
  <c r="F617" i="1"/>
  <c r="G617" i="1"/>
  <c r="H617" i="1"/>
  <c r="J617" i="1" s="1"/>
  <c r="A618" i="1" a="1"/>
  <c r="A618" i="1" s="1"/>
  <c r="B618" i="1"/>
  <c r="C618" i="1" a="1"/>
  <c r="C618" i="1" s="1"/>
  <c r="D618" i="1" a="1"/>
  <c r="D618" i="1" s="1"/>
  <c r="E618" i="1" a="1"/>
  <c r="E618" i="1" s="1"/>
  <c r="F618" i="1"/>
  <c r="G618" i="1"/>
  <c r="H618" i="1"/>
  <c r="J618" i="1" s="1"/>
  <c r="A366" i="1" a="1"/>
  <c r="A366" i="1" s="1"/>
  <c r="B366" i="1"/>
  <c r="C366" i="1" a="1"/>
  <c r="C366" i="1" s="1"/>
  <c r="D366" i="1" a="1"/>
  <c r="D366" i="1" s="1"/>
  <c r="E366" i="1" a="1"/>
  <c r="E366" i="1" s="1"/>
  <c r="F366" i="1"/>
  <c r="G366" i="1"/>
  <c r="H366" i="1"/>
  <c r="J366" i="1" s="1"/>
  <c r="A297" i="1" a="1"/>
  <c r="A297" i="1" s="1"/>
  <c r="B297" i="1"/>
  <c r="C297" i="1" a="1"/>
  <c r="C297" i="1" s="1"/>
  <c r="D297" i="1" a="1"/>
  <c r="D297" i="1" s="1"/>
  <c r="E297" i="1" a="1"/>
  <c r="E297" i="1" s="1"/>
  <c r="F297" i="1"/>
  <c r="G297" i="1"/>
  <c r="H297" i="1"/>
  <c r="J297" i="1" s="1"/>
  <c r="A502" i="1" a="1"/>
  <c r="A502" i="1" s="1"/>
  <c r="B502" i="1"/>
  <c r="C502" i="1" a="1"/>
  <c r="C502" i="1" s="1"/>
  <c r="D502" i="1" a="1"/>
  <c r="D502" i="1" s="1"/>
  <c r="E502" i="1" a="1"/>
  <c r="E502" i="1" s="1"/>
  <c r="F502" i="1"/>
  <c r="G502" i="1"/>
  <c r="H502" i="1"/>
  <c r="J502" i="1" s="1"/>
  <c r="A438" i="1" a="1"/>
  <c r="A438" i="1" s="1"/>
  <c r="B438" i="1"/>
  <c r="C438" i="1" a="1"/>
  <c r="C438" i="1" s="1"/>
  <c r="D438" i="1" a="1"/>
  <c r="D438" i="1" s="1"/>
  <c r="E438" i="1" a="1"/>
  <c r="E438" i="1" s="1"/>
  <c r="F438" i="1"/>
  <c r="G438" i="1"/>
  <c r="H438" i="1"/>
  <c r="A161" i="1" a="1"/>
  <c r="A161" i="1" s="1"/>
  <c r="B161" i="1"/>
  <c r="C161" i="1" a="1"/>
  <c r="C161" i="1" s="1"/>
  <c r="D161" i="1" a="1"/>
  <c r="D161" i="1" s="1"/>
  <c r="E161" i="1" a="1"/>
  <c r="E161" i="1" s="1"/>
  <c r="F161" i="1"/>
  <c r="G161" i="1"/>
  <c r="H161" i="1"/>
  <c r="J161" i="1" s="1"/>
  <c r="A230" i="1" a="1"/>
  <c r="A230" i="1" s="1"/>
  <c r="B230" i="1"/>
  <c r="C230" i="1" a="1"/>
  <c r="C230" i="1" s="1"/>
  <c r="D230" i="1" a="1"/>
  <c r="D230" i="1" s="1"/>
  <c r="E230" i="1" a="1"/>
  <c r="E230" i="1" s="1"/>
  <c r="F230" i="1"/>
  <c r="G230" i="1"/>
  <c r="H230" i="1"/>
  <c r="J230" i="1" s="1"/>
  <c r="A231" i="1" a="1"/>
  <c r="A231" i="1" s="1"/>
  <c r="B231" i="1"/>
  <c r="C231" i="1" a="1"/>
  <c r="C231" i="1" s="1"/>
  <c r="D231" i="1" a="1"/>
  <c r="D231" i="1" s="1"/>
  <c r="E231" i="1" a="1"/>
  <c r="E231" i="1" s="1"/>
  <c r="F231" i="1"/>
  <c r="G231" i="1"/>
  <c r="H231" i="1"/>
  <c r="J231" i="1" s="1"/>
  <c r="A232" i="1" a="1"/>
  <c r="A232" i="1" s="1"/>
  <c r="B232" i="1"/>
  <c r="C232" i="1" a="1"/>
  <c r="C232" i="1" s="1"/>
  <c r="D232" i="1" a="1"/>
  <c r="D232" i="1" s="1"/>
  <c r="E232" i="1" a="1"/>
  <c r="E232" i="1" s="1"/>
  <c r="F232" i="1"/>
  <c r="G232" i="1"/>
  <c r="H232" i="1"/>
  <c r="A503" i="1" a="1"/>
  <c r="A503" i="1" s="1"/>
  <c r="B503" i="1"/>
  <c r="C503" i="1" a="1"/>
  <c r="C503" i="1" s="1"/>
  <c r="D503" i="1" a="1"/>
  <c r="D503" i="1" s="1"/>
  <c r="E503" i="1" a="1"/>
  <c r="E503" i="1" s="1"/>
  <c r="F503" i="1"/>
  <c r="G503" i="1"/>
  <c r="H503" i="1"/>
  <c r="J503" i="1" s="1"/>
  <c r="A367" i="1" a="1"/>
  <c r="A367" i="1" s="1"/>
  <c r="B367" i="1"/>
  <c r="C367" i="1" a="1"/>
  <c r="C367" i="1" s="1"/>
  <c r="D367" i="1" a="1"/>
  <c r="D367" i="1" s="1"/>
  <c r="E367" i="1" a="1"/>
  <c r="E367" i="1" s="1"/>
  <c r="F367" i="1"/>
  <c r="G367" i="1"/>
  <c r="H367" i="1"/>
  <c r="J367" i="1" s="1"/>
  <c r="A561" i="1" a="1"/>
  <c r="A561" i="1" s="1"/>
  <c r="B561" i="1"/>
  <c r="C561" i="1" a="1"/>
  <c r="C561" i="1" s="1"/>
  <c r="D561" i="1" a="1"/>
  <c r="D561" i="1" s="1"/>
  <c r="E561" i="1" a="1"/>
  <c r="E561" i="1" s="1"/>
  <c r="F561" i="1"/>
  <c r="G561" i="1"/>
  <c r="H561" i="1"/>
  <c r="J561" i="1" s="1"/>
  <c r="A619" i="1" a="1"/>
  <c r="A619" i="1" s="1"/>
  <c r="B619" i="1"/>
  <c r="C619" i="1" a="1"/>
  <c r="C619" i="1" s="1"/>
  <c r="D619" i="1" a="1"/>
  <c r="D619" i="1" s="1"/>
  <c r="E619" i="1" a="1"/>
  <c r="E619" i="1" s="1"/>
  <c r="F619" i="1"/>
  <c r="G619" i="1"/>
  <c r="H619" i="1"/>
  <c r="A30" i="1" a="1"/>
  <c r="A30" i="1" s="1"/>
  <c r="B30" i="1"/>
  <c r="C30" i="1" a="1"/>
  <c r="C30" i="1" s="1"/>
  <c r="D30" i="1" a="1"/>
  <c r="D30" i="1" s="1"/>
  <c r="E30" i="1" a="1"/>
  <c r="E30" i="1" s="1"/>
  <c r="F30" i="1"/>
  <c r="G30" i="1"/>
  <c r="H30" i="1"/>
  <c r="J30" i="1" s="1"/>
  <c r="A368" i="1" a="1"/>
  <c r="A368" i="1" s="1"/>
  <c r="B368" i="1"/>
  <c r="C368" i="1" a="1"/>
  <c r="C368" i="1" s="1"/>
  <c r="D368" i="1" a="1"/>
  <c r="D368" i="1" s="1"/>
  <c r="E368" i="1" a="1"/>
  <c r="E368" i="1" s="1"/>
  <c r="F368" i="1"/>
  <c r="G368" i="1"/>
  <c r="H368" i="1"/>
  <c r="J368" i="1" s="1"/>
  <c r="A369" i="1" a="1"/>
  <c r="A369" i="1" s="1"/>
  <c r="B369" i="1"/>
  <c r="C369" i="1" a="1"/>
  <c r="C369" i="1" s="1"/>
  <c r="D369" i="1" a="1"/>
  <c r="D369" i="1" s="1"/>
  <c r="E369" i="1" a="1"/>
  <c r="E369" i="1" s="1"/>
  <c r="F369" i="1"/>
  <c r="G369" i="1"/>
  <c r="H369" i="1"/>
  <c r="J369" i="1" s="1"/>
  <c r="A504" i="1" a="1"/>
  <c r="A504" i="1" s="1"/>
  <c r="B504" i="1"/>
  <c r="C504" i="1" a="1"/>
  <c r="C504" i="1" s="1"/>
  <c r="D504" i="1" a="1"/>
  <c r="D504" i="1" s="1"/>
  <c r="E504" i="1" a="1"/>
  <c r="E504" i="1" s="1"/>
  <c r="F504" i="1"/>
  <c r="G504" i="1"/>
  <c r="H504" i="1"/>
  <c r="J504" i="1" s="1"/>
  <c r="A562" i="1" a="1"/>
  <c r="A562" i="1" s="1"/>
  <c r="B562" i="1"/>
  <c r="C562" i="1" a="1"/>
  <c r="C562" i="1" s="1"/>
  <c r="D562" i="1" a="1"/>
  <c r="D562" i="1" s="1"/>
  <c r="E562" i="1" a="1"/>
  <c r="E562" i="1" s="1"/>
  <c r="F562" i="1"/>
  <c r="G562" i="1"/>
  <c r="H562" i="1"/>
  <c r="J562" i="1" s="1"/>
  <c r="A370" i="1" a="1"/>
  <c r="A370" i="1" s="1"/>
  <c r="B370" i="1"/>
  <c r="C370" i="1" a="1"/>
  <c r="C370" i="1" s="1"/>
  <c r="D370" i="1" a="1"/>
  <c r="D370" i="1" s="1"/>
  <c r="E370" i="1" a="1"/>
  <c r="E370" i="1" s="1"/>
  <c r="F370" i="1"/>
  <c r="G370" i="1"/>
  <c r="H370" i="1"/>
  <c r="J370" i="1" s="1"/>
  <c r="A162" i="1" a="1"/>
  <c r="A162" i="1" s="1"/>
  <c r="B162" i="1"/>
  <c r="C162" i="1" a="1"/>
  <c r="C162" i="1" s="1"/>
  <c r="D162" i="1" a="1"/>
  <c r="D162" i="1" s="1"/>
  <c r="E162" i="1" a="1"/>
  <c r="E162" i="1" s="1"/>
  <c r="F162" i="1"/>
  <c r="G162" i="1"/>
  <c r="H162" i="1"/>
  <c r="J162" i="1" s="1"/>
  <c r="A31" i="1" a="1"/>
  <c r="A31" i="1" s="1"/>
  <c r="B31" i="1"/>
  <c r="C31" i="1" a="1"/>
  <c r="C31" i="1" s="1"/>
  <c r="D31" i="1" a="1"/>
  <c r="D31" i="1" s="1"/>
  <c r="E31" i="1" a="1"/>
  <c r="E31" i="1" s="1"/>
  <c r="F31" i="1"/>
  <c r="G31" i="1"/>
  <c r="H31" i="1"/>
  <c r="A298" i="1" a="1"/>
  <c r="A298" i="1" s="1"/>
  <c r="B298" i="1"/>
  <c r="C298" i="1" a="1"/>
  <c r="C298" i="1" s="1"/>
  <c r="D298" i="1" a="1"/>
  <c r="D298" i="1" s="1"/>
  <c r="E298" i="1" a="1"/>
  <c r="E298" i="1" s="1"/>
  <c r="F298" i="1"/>
  <c r="G298" i="1"/>
  <c r="H298" i="1"/>
  <c r="J298" i="1" s="1"/>
  <c r="A299" i="1" a="1"/>
  <c r="A299" i="1" s="1"/>
  <c r="B299" i="1"/>
  <c r="C299" i="1" a="1"/>
  <c r="C299" i="1" s="1"/>
  <c r="D299" i="1" a="1"/>
  <c r="D299" i="1" s="1"/>
  <c r="E299" i="1" a="1"/>
  <c r="E299" i="1" s="1"/>
  <c r="F299" i="1"/>
  <c r="G299" i="1"/>
  <c r="H299" i="1"/>
  <c r="J299" i="1" s="1"/>
  <c r="A371" i="1" a="1"/>
  <c r="A371" i="1" s="1"/>
  <c r="B371" i="1"/>
  <c r="C371" i="1" a="1"/>
  <c r="C371" i="1" s="1"/>
  <c r="D371" i="1" a="1"/>
  <c r="D371" i="1" s="1"/>
  <c r="E371" i="1" a="1"/>
  <c r="E371" i="1" s="1"/>
  <c r="F371" i="1"/>
  <c r="G371" i="1"/>
  <c r="H371" i="1"/>
  <c r="J371" i="1" s="1"/>
  <c r="A233" i="1" a="1"/>
  <c r="A233" i="1" s="1"/>
  <c r="B233" i="1"/>
  <c r="C233" i="1" a="1"/>
  <c r="C233" i="1" s="1"/>
  <c r="D233" i="1" a="1"/>
  <c r="D233" i="1" s="1"/>
  <c r="E233" i="1" a="1"/>
  <c r="E233" i="1" s="1"/>
  <c r="F233" i="1"/>
  <c r="G233" i="1"/>
  <c r="H233" i="1"/>
  <c r="J233" i="1" s="1"/>
  <c r="A505" i="1" a="1"/>
  <c r="A505" i="1" s="1"/>
  <c r="B505" i="1"/>
  <c r="C505" i="1" a="1"/>
  <c r="C505" i="1" s="1"/>
  <c r="D505" i="1" a="1"/>
  <c r="D505" i="1" s="1"/>
  <c r="E505" i="1" a="1"/>
  <c r="E505" i="1" s="1"/>
  <c r="F505" i="1"/>
  <c r="G505" i="1"/>
  <c r="H505" i="1"/>
  <c r="J505" i="1" s="1"/>
  <c r="A439" i="1" a="1"/>
  <c r="A439" i="1" s="1"/>
  <c r="B439" i="1"/>
  <c r="C439" i="1" a="1"/>
  <c r="C439" i="1" s="1"/>
  <c r="D439" i="1" a="1"/>
  <c r="D439" i="1" s="1"/>
  <c r="E439" i="1" a="1"/>
  <c r="E439" i="1" s="1"/>
  <c r="F439" i="1"/>
  <c r="G439" i="1"/>
  <c r="H439" i="1"/>
  <c r="J439" i="1" s="1"/>
  <c r="A440" i="1" a="1"/>
  <c r="A440" i="1" s="1"/>
  <c r="B440" i="1"/>
  <c r="C440" i="1" a="1"/>
  <c r="C440" i="1" s="1"/>
  <c r="D440" i="1" a="1"/>
  <c r="D440" i="1" s="1"/>
  <c r="E440" i="1" a="1"/>
  <c r="E440" i="1" s="1"/>
  <c r="F440" i="1"/>
  <c r="G440" i="1"/>
  <c r="H440" i="1"/>
  <c r="J440" i="1" s="1"/>
  <c r="A372" i="1" a="1"/>
  <c r="A372" i="1" s="1"/>
  <c r="B372" i="1"/>
  <c r="C372" i="1" a="1"/>
  <c r="C372" i="1" s="1"/>
  <c r="D372" i="1" a="1"/>
  <c r="D372" i="1" s="1"/>
  <c r="E372" i="1" a="1"/>
  <c r="E372" i="1" s="1"/>
  <c r="F372" i="1"/>
  <c r="G372" i="1"/>
  <c r="H372" i="1"/>
  <c r="A506" i="1" a="1"/>
  <c r="A506" i="1" s="1"/>
  <c r="B506" i="1"/>
  <c r="C506" i="1" a="1"/>
  <c r="C506" i="1" s="1"/>
  <c r="D506" i="1" a="1"/>
  <c r="D506" i="1" s="1"/>
  <c r="E506" i="1" a="1"/>
  <c r="E506" i="1" s="1"/>
  <c r="F506" i="1"/>
  <c r="G506" i="1"/>
  <c r="H506" i="1"/>
  <c r="J506" i="1" s="1"/>
  <c r="A563" i="1" a="1"/>
  <c r="A563" i="1" s="1"/>
  <c r="B563" i="1"/>
  <c r="C563" i="1" a="1"/>
  <c r="C563" i="1" s="1"/>
  <c r="D563" i="1" a="1"/>
  <c r="D563" i="1" s="1"/>
  <c r="E563" i="1" a="1"/>
  <c r="E563" i="1" s="1"/>
  <c r="F563" i="1"/>
  <c r="G563" i="1"/>
  <c r="H563" i="1"/>
  <c r="J563" i="1" s="1"/>
  <c r="A507" i="1" a="1"/>
  <c r="A507" i="1" s="1"/>
  <c r="B507" i="1"/>
  <c r="C507" i="1" a="1"/>
  <c r="C507" i="1" s="1"/>
  <c r="D507" i="1" a="1"/>
  <c r="D507" i="1" s="1"/>
  <c r="E507" i="1" a="1"/>
  <c r="E507" i="1" s="1"/>
  <c r="F507" i="1"/>
  <c r="G507" i="1"/>
  <c r="H507" i="1"/>
  <c r="J507" i="1" s="1"/>
  <c r="A163" i="1" a="1"/>
  <c r="A163" i="1" s="1"/>
  <c r="B163" i="1"/>
  <c r="C163" i="1" a="1"/>
  <c r="C163" i="1" s="1"/>
  <c r="D163" i="1" a="1"/>
  <c r="D163" i="1" s="1"/>
  <c r="E163" i="1" a="1"/>
  <c r="E163" i="1" s="1"/>
  <c r="F163" i="1"/>
  <c r="G163" i="1"/>
  <c r="H163" i="1"/>
  <c r="J163" i="1" s="1"/>
  <c r="A164" i="1" a="1"/>
  <c r="A164" i="1" s="1"/>
  <c r="B164" i="1"/>
  <c r="C164" i="1" a="1"/>
  <c r="C164" i="1" s="1"/>
  <c r="D164" i="1" a="1"/>
  <c r="D164" i="1" s="1"/>
  <c r="E164" i="1" a="1"/>
  <c r="E164" i="1" s="1"/>
  <c r="F164" i="1"/>
  <c r="G164" i="1"/>
  <c r="H164" i="1"/>
  <c r="J164" i="1" s="1"/>
  <c r="A441" i="1" a="1"/>
  <c r="A441" i="1" s="1"/>
  <c r="B441" i="1"/>
  <c r="C441" i="1" a="1"/>
  <c r="C441" i="1" s="1"/>
  <c r="D441" i="1" a="1"/>
  <c r="D441" i="1" s="1"/>
  <c r="E441" i="1" a="1"/>
  <c r="E441" i="1" s="1"/>
  <c r="F441" i="1"/>
  <c r="G441" i="1"/>
  <c r="H441" i="1"/>
  <c r="J441" i="1" s="1"/>
  <c r="A442" i="1" a="1"/>
  <c r="A442" i="1" s="1"/>
  <c r="B442" i="1"/>
  <c r="C442" i="1" a="1"/>
  <c r="C442" i="1" s="1"/>
  <c r="D442" i="1" a="1"/>
  <c r="D442" i="1" s="1"/>
  <c r="E442" i="1" a="1"/>
  <c r="E442" i="1" s="1"/>
  <c r="F442" i="1"/>
  <c r="G442" i="1"/>
  <c r="H442" i="1"/>
  <c r="J442" i="1" s="1"/>
  <c r="A97" i="1" a="1"/>
  <c r="A97" i="1" s="1"/>
  <c r="B97" i="1"/>
  <c r="C97" i="1" a="1"/>
  <c r="C97" i="1" s="1"/>
  <c r="D97" i="1" a="1"/>
  <c r="D97" i="1" s="1"/>
  <c r="E97" i="1" a="1"/>
  <c r="E97" i="1" s="1"/>
  <c r="F97" i="1"/>
  <c r="G97" i="1"/>
  <c r="H97" i="1"/>
  <c r="A300" i="1" a="1"/>
  <c r="A300" i="1" s="1"/>
  <c r="B300" i="1"/>
  <c r="C300" i="1" a="1"/>
  <c r="C300" i="1" s="1"/>
  <c r="D300" i="1" a="1"/>
  <c r="D300" i="1" s="1"/>
  <c r="E300" i="1" a="1"/>
  <c r="E300" i="1" s="1"/>
  <c r="F300" i="1"/>
  <c r="G300" i="1"/>
  <c r="H300" i="1"/>
  <c r="A373" i="1" a="1"/>
  <c r="A373" i="1" s="1"/>
  <c r="B373" i="1"/>
  <c r="C373" i="1" a="1"/>
  <c r="C373" i="1" s="1"/>
  <c r="D373" i="1" a="1"/>
  <c r="D373" i="1" s="1"/>
  <c r="E373" i="1" a="1"/>
  <c r="E373" i="1" s="1"/>
  <c r="F373" i="1"/>
  <c r="G373" i="1"/>
  <c r="H373" i="1"/>
  <c r="J373" i="1" s="1"/>
  <c r="A508" i="1" a="1"/>
  <c r="A508" i="1" s="1"/>
  <c r="B508" i="1"/>
  <c r="C508" i="1" a="1"/>
  <c r="C508" i="1" s="1"/>
  <c r="D508" i="1" a="1"/>
  <c r="D508" i="1" s="1"/>
  <c r="E508" i="1" a="1"/>
  <c r="E508" i="1" s="1"/>
  <c r="F508" i="1"/>
  <c r="G508" i="1"/>
  <c r="H508" i="1"/>
  <c r="J508" i="1" s="1"/>
  <c r="A32" i="1" a="1"/>
  <c r="A32" i="1" s="1"/>
  <c r="B32" i="1"/>
  <c r="C32" i="1" a="1"/>
  <c r="C32" i="1" s="1"/>
  <c r="D32" i="1" a="1"/>
  <c r="D32" i="1" s="1"/>
  <c r="E32" i="1" a="1"/>
  <c r="E32" i="1" s="1"/>
  <c r="F32" i="1"/>
  <c r="G32" i="1"/>
  <c r="H32" i="1"/>
  <c r="A33" i="1" a="1"/>
  <c r="A33" i="1" s="1"/>
  <c r="B33" i="1"/>
  <c r="C33" i="1" a="1"/>
  <c r="C33" i="1" s="1"/>
  <c r="D33" i="1" a="1"/>
  <c r="D33" i="1" s="1"/>
  <c r="E33" i="1" a="1"/>
  <c r="E33" i="1" s="1"/>
  <c r="F33" i="1"/>
  <c r="G33" i="1"/>
  <c r="H33" i="1"/>
  <c r="J33" i="1" s="1"/>
  <c r="A620" i="1" a="1"/>
  <c r="A620" i="1" s="1"/>
  <c r="B620" i="1"/>
  <c r="C620" i="1" a="1"/>
  <c r="C620" i="1" s="1"/>
  <c r="D620" i="1" a="1"/>
  <c r="D620" i="1" s="1"/>
  <c r="E620" i="1" a="1"/>
  <c r="E620" i="1" s="1"/>
  <c r="F620" i="1"/>
  <c r="G620" i="1"/>
  <c r="H620" i="1"/>
  <c r="J620" i="1" s="1"/>
  <c r="A443" i="1" a="1"/>
  <c r="A443" i="1" s="1"/>
  <c r="B443" i="1"/>
  <c r="C443" i="1" a="1"/>
  <c r="C443" i="1" s="1"/>
  <c r="D443" i="1" a="1"/>
  <c r="D443" i="1" s="1"/>
  <c r="E443" i="1" a="1"/>
  <c r="E443" i="1" s="1"/>
  <c r="F443" i="1"/>
  <c r="G443" i="1"/>
  <c r="H443" i="1"/>
  <c r="J443" i="1" s="1"/>
  <c r="A98" i="1" a="1"/>
  <c r="A98" i="1" s="1"/>
  <c r="B98" i="1"/>
  <c r="C98" i="1" a="1"/>
  <c r="C98" i="1" s="1"/>
  <c r="D98" i="1" a="1"/>
  <c r="D98" i="1" s="1"/>
  <c r="E98" i="1" a="1"/>
  <c r="E98" i="1" s="1"/>
  <c r="F98" i="1"/>
  <c r="G98" i="1"/>
  <c r="H98" i="1"/>
  <c r="A621" i="1" a="1"/>
  <c r="A621" i="1" s="1"/>
  <c r="B621" i="1"/>
  <c r="C621" i="1" a="1"/>
  <c r="C621" i="1" s="1"/>
  <c r="D621" i="1" a="1"/>
  <c r="D621" i="1" s="1"/>
  <c r="E621" i="1" a="1"/>
  <c r="E621" i="1" s="1"/>
  <c r="F621" i="1"/>
  <c r="G621" i="1"/>
  <c r="H621" i="1"/>
  <c r="J621" i="1" s="1"/>
  <c r="A165" i="1" a="1"/>
  <c r="A165" i="1" s="1"/>
  <c r="B165" i="1"/>
  <c r="C165" i="1" a="1"/>
  <c r="C165" i="1" s="1"/>
  <c r="D165" i="1" a="1"/>
  <c r="D165" i="1" s="1"/>
  <c r="E165" i="1" a="1"/>
  <c r="E165" i="1" s="1"/>
  <c r="F165" i="1"/>
  <c r="G165" i="1"/>
  <c r="H165" i="1"/>
  <c r="J165" i="1" s="1"/>
  <c r="A234" i="1" a="1"/>
  <c r="A234" i="1" s="1"/>
  <c r="B234" i="1"/>
  <c r="C234" i="1" a="1"/>
  <c r="C234" i="1" s="1"/>
  <c r="D234" i="1" a="1"/>
  <c r="D234" i="1" s="1"/>
  <c r="E234" i="1" a="1"/>
  <c r="E234" i="1" s="1"/>
  <c r="F234" i="1"/>
  <c r="G234" i="1"/>
  <c r="H234" i="1"/>
  <c r="A564" i="1" a="1"/>
  <c r="A564" i="1" s="1"/>
  <c r="B564" i="1"/>
  <c r="C564" i="1" a="1"/>
  <c r="C564" i="1" s="1"/>
  <c r="D564" i="1" a="1"/>
  <c r="D564" i="1" s="1"/>
  <c r="E564" i="1" a="1"/>
  <c r="E564" i="1" s="1"/>
  <c r="F564" i="1"/>
  <c r="G564" i="1"/>
  <c r="H564" i="1"/>
  <c r="J564" i="1" s="1"/>
  <c r="A301" i="1" a="1"/>
  <c r="A301" i="1" s="1"/>
  <c r="B301" i="1"/>
  <c r="C301" i="1" a="1"/>
  <c r="C301" i="1" s="1"/>
  <c r="D301" i="1" a="1"/>
  <c r="D301" i="1" s="1"/>
  <c r="E301" i="1" a="1"/>
  <c r="E301" i="1" s="1"/>
  <c r="F301" i="1"/>
  <c r="G301" i="1"/>
  <c r="H301" i="1"/>
  <c r="J301" i="1" s="1"/>
  <c r="A565" i="1" a="1"/>
  <c r="A565" i="1" s="1"/>
  <c r="B565" i="1"/>
  <c r="C565" i="1" a="1"/>
  <c r="C565" i="1" s="1"/>
  <c r="D565" i="1" a="1"/>
  <c r="D565" i="1" s="1"/>
  <c r="E565" i="1" a="1"/>
  <c r="E565" i="1" s="1"/>
  <c r="F565" i="1"/>
  <c r="G565" i="1"/>
  <c r="H565" i="1"/>
  <c r="J565" i="1" s="1"/>
  <c r="A622" i="1" a="1"/>
  <c r="A622" i="1" s="1"/>
  <c r="B622" i="1"/>
  <c r="C622" i="1" a="1"/>
  <c r="C622" i="1" s="1"/>
  <c r="D622" i="1" a="1"/>
  <c r="D622" i="1" s="1"/>
  <c r="E622" i="1" a="1"/>
  <c r="E622" i="1" s="1"/>
  <c r="F622" i="1"/>
  <c r="G622" i="1"/>
  <c r="H622" i="1"/>
  <c r="J622" i="1" s="1"/>
  <c r="A509" i="1" a="1"/>
  <c r="A509" i="1" s="1"/>
  <c r="B509" i="1"/>
  <c r="C509" i="1" a="1"/>
  <c r="C509" i="1" s="1"/>
  <c r="D509" i="1" a="1"/>
  <c r="D509" i="1" s="1"/>
  <c r="E509" i="1" a="1"/>
  <c r="E509" i="1" s="1"/>
  <c r="F509" i="1"/>
  <c r="G509" i="1"/>
  <c r="H509" i="1"/>
  <c r="J509" i="1" s="1"/>
  <c r="A34" i="1" a="1"/>
  <c r="A34" i="1" s="1"/>
  <c r="B34" i="1"/>
  <c r="C34" i="1" a="1"/>
  <c r="C34" i="1" s="1"/>
  <c r="D34" i="1" a="1"/>
  <c r="D34" i="1" s="1"/>
  <c r="E34" i="1" a="1"/>
  <c r="E34" i="1" s="1"/>
  <c r="F34" i="1"/>
  <c r="G34" i="1"/>
  <c r="H34" i="1"/>
  <c r="A235" i="1" a="1"/>
  <c r="A235" i="1" s="1"/>
  <c r="B235" i="1"/>
  <c r="C235" i="1" a="1"/>
  <c r="C235" i="1" s="1"/>
  <c r="D235" i="1" a="1"/>
  <c r="D235" i="1" s="1"/>
  <c r="E235" i="1" a="1"/>
  <c r="E235" i="1" s="1"/>
  <c r="F235" i="1"/>
  <c r="G235" i="1"/>
  <c r="H235" i="1"/>
  <c r="J235" i="1" s="1"/>
  <c r="A35" i="1" a="1"/>
  <c r="A35" i="1" s="1"/>
  <c r="B35" i="1"/>
  <c r="C35" i="1" a="1"/>
  <c r="C35" i="1" s="1"/>
  <c r="D35" i="1" a="1"/>
  <c r="D35" i="1" s="1"/>
  <c r="E35" i="1" a="1"/>
  <c r="E35" i="1" s="1"/>
  <c r="F35" i="1"/>
  <c r="G35" i="1"/>
  <c r="H35" i="1"/>
  <c r="J35" i="1" s="1"/>
  <c r="A166" i="1" a="1"/>
  <c r="A166" i="1" s="1"/>
  <c r="B166" i="1"/>
  <c r="C166" i="1" a="1"/>
  <c r="C166" i="1" s="1"/>
  <c r="D166" i="1" a="1"/>
  <c r="D166" i="1" s="1"/>
  <c r="E166" i="1" a="1"/>
  <c r="E166" i="1" s="1"/>
  <c r="F166" i="1"/>
  <c r="G166" i="1"/>
  <c r="H166" i="1"/>
  <c r="J166" i="1" s="1"/>
  <c r="A374" i="1" a="1"/>
  <c r="A374" i="1" s="1"/>
  <c r="B374" i="1"/>
  <c r="C374" i="1" a="1"/>
  <c r="C374" i="1" s="1"/>
  <c r="D374" i="1" a="1"/>
  <c r="D374" i="1" s="1"/>
  <c r="E374" i="1" a="1"/>
  <c r="E374" i="1" s="1"/>
  <c r="F374" i="1"/>
  <c r="G374" i="1"/>
  <c r="H374" i="1"/>
  <c r="J374" i="1" s="1"/>
  <c r="A36" i="1" a="1"/>
  <c r="A36" i="1" s="1"/>
  <c r="B36" i="1"/>
  <c r="C36" i="1" a="1"/>
  <c r="C36" i="1" s="1"/>
  <c r="D36" i="1" a="1"/>
  <c r="D36" i="1" s="1"/>
  <c r="E36" i="1" a="1"/>
  <c r="E36" i="1" s="1"/>
  <c r="F36" i="1"/>
  <c r="G36" i="1"/>
  <c r="H36" i="1"/>
  <c r="J36" i="1" s="1"/>
  <c r="A566" i="1" a="1"/>
  <c r="A566" i="1" s="1"/>
  <c r="B566" i="1"/>
  <c r="C566" i="1" a="1"/>
  <c r="C566" i="1" s="1"/>
  <c r="D566" i="1" a="1"/>
  <c r="D566" i="1" s="1"/>
  <c r="E566" i="1" a="1"/>
  <c r="E566" i="1" s="1"/>
  <c r="F566" i="1"/>
  <c r="G566" i="1"/>
  <c r="H566" i="1"/>
  <c r="J566" i="1" s="1"/>
  <c r="A302" i="1" a="1"/>
  <c r="A302" i="1" s="1"/>
  <c r="B302" i="1"/>
  <c r="C302" i="1" a="1"/>
  <c r="C302" i="1" s="1"/>
  <c r="D302" i="1" a="1"/>
  <c r="D302" i="1" s="1"/>
  <c r="E302" i="1" a="1"/>
  <c r="E302" i="1" s="1"/>
  <c r="F302" i="1"/>
  <c r="G302" i="1"/>
  <c r="H302" i="1"/>
  <c r="J302" i="1" s="1"/>
  <c r="A236" i="1" a="1"/>
  <c r="A236" i="1" s="1"/>
  <c r="B236" i="1"/>
  <c r="C236" i="1" a="1"/>
  <c r="C236" i="1" s="1"/>
  <c r="D236" i="1" a="1"/>
  <c r="D236" i="1" s="1"/>
  <c r="E236" i="1" a="1"/>
  <c r="E236" i="1" s="1"/>
  <c r="F236" i="1"/>
  <c r="G236" i="1"/>
  <c r="H236" i="1"/>
  <c r="A510" i="1" a="1"/>
  <c r="A510" i="1" s="1"/>
  <c r="B510" i="1"/>
  <c r="C510" i="1" a="1"/>
  <c r="C510" i="1" s="1"/>
  <c r="D510" i="1" a="1"/>
  <c r="D510" i="1" s="1"/>
  <c r="E510" i="1" a="1"/>
  <c r="E510" i="1" s="1"/>
  <c r="F510" i="1"/>
  <c r="G510" i="1"/>
  <c r="H510" i="1"/>
  <c r="J510" i="1" s="1"/>
  <c r="A567" i="1" a="1"/>
  <c r="A567" i="1" s="1"/>
  <c r="B567" i="1"/>
  <c r="C567" i="1" a="1"/>
  <c r="C567" i="1" s="1"/>
  <c r="D567" i="1" a="1"/>
  <c r="D567" i="1" s="1"/>
  <c r="E567" i="1" a="1"/>
  <c r="E567" i="1" s="1"/>
  <c r="F567" i="1"/>
  <c r="G567" i="1"/>
  <c r="H567" i="1"/>
  <c r="J567" i="1" s="1"/>
  <c r="A99" i="1" a="1"/>
  <c r="A99" i="1" s="1"/>
  <c r="B99" i="1"/>
  <c r="C99" i="1" a="1"/>
  <c r="C99" i="1" s="1"/>
  <c r="D99" i="1" a="1"/>
  <c r="D99" i="1" s="1"/>
  <c r="E99" i="1" a="1"/>
  <c r="E99" i="1" s="1"/>
  <c r="F99" i="1"/>
  <c r="G99" i="1"/>
  <c r="H99" i="1"/>
  <c r="J99" i="1" s="1"/>
  <c r="A100" i="1" a="1"/>
  <c r="A100" i="1" s="1"/>
  <c r="B100" i="1"/>
  <c r="C100" i="1" a="1"/>
  <c r="C100" i="1" s="1"/>
  <c r="D100" i="1" a="1"/>
  <c r="D100" i="1" s="1"/>
  <c r="E100" i="1" a="1"/>
  <c r="E100" i="1" s="1"/>
  <c r="F100" i="1"/>
  <c r="G100" i="1"/>
  <c r="H100" i="1"/>
  <c r="J100" i="1" s="1"/>
  <c r="A568" i="1" a="1"/>
  <c r="A568" i="1" s="1"/>
  <c r="B568" i="1"/>
  <c r="C568" i="1" a="1"/>
  <c r="C568" i="1" s="1"/>
  <c r="D568" i="1" a="1"/>
  <c r="D568" i="1" s="1"/>
  <c r="E568" i="1" a="1"/>
  <c r="E568" i="1" s="1"/>
  <c r="F568" i="1"/>
  <c r="G568" i="1"/>
  <c r="H568" i="1"/>
  <c r="J568" i="1" s="1"/>
  <c r="A623" i="1" a="1"/>
  <c r="A623" i="1" s="1"/>
  <c r="B623" i="1"/>
  <c r="C623" i="1" a="1"/>
  <c r="C623" i="1" s="1"/>
  <c r="D623" i="1" a="1"/>
  <c r="D623" i="1" s="1"/>
  <c r="E623" i="1" a="1"/>
  <c r="E623" i="1" s="1"/>
  <c r="F623" i="1"/>
  <c r="G623" i="1"/>
  <c r="H623" i="1"/>
  <c r="J623" i="1" s="1"/>
  <c r="A167" i="1" a="1"/>
  <c r="A167" i="1" s="1"/>
  <c r="B167" i="1"/>
  <c r="C167" i="1" a="1"/>
  <c r="C167" i="1" s="1"/>
  <c r="D167" i="1" a="1"/>
  <c r="D167" i="1" s="1"/>
  <c r="E167" i="1" a="1"/>
  <c r="E167" i="1" s="1"/>
  <c r="F167" i="1"/>
  <c r="G167" i="1"/>
  <c r="H167" i="1"/>
  <c r="A444" i="1" a="1"/>
  <c r="A444" i="1" s="1"/>
  <c r="B444" i="1"/>
  <c r="C444" i="1" a="1"/>
  <c r="C444" i="1" s="1"/>
  <c r="D444" i="1" a="1"/>
  <c r="D444" i="1" s="1"/>
  <c r="E444" i="1" a="1"/>
  <c r="E444" i="1" s="1"/>
  <c r="F444" i="1"/>
  <c r="G444" i="1"/>
  <c r="H444" i="1"/>
  <c r="J444" i="1" s="1"/>
  <c r="A303" i="1" a="1"/>
  <c r="A303" i="1" s="1"/>
  <c r="B303" i="1"/>
  <c r="C303" i="1" a="1"/>
  <c r="C303" i="1" s="1"/>
  <c r="D303" i="1" a="1"/>
  <c r="D303" i="1" s="1"/>
  <c r="E303" i="1" a="1"/>
  <c r="E303" i="1" s="1"/>
  <c r="F303" i="1"/>
  <c r="G303" i="1"/>
  <c r="H303" i="1"/>
  <c r="J303" i="1" s="1"/>
  <c r="A375" i="1" a="1"/>
  <c r="A375" i="1" s="1"/>
  <c r="B375" i="1"/>
  <c r="C375" i="1" a="1"/>
  <c r="C375" i="1" s="1"/>
  <c r="D375" i="1" a="1"/>
  <c r="D375" i="1" s="1"/>
  <c r="E375" i="1" a="1"/>
  <c r="E375" i="1" s="1"/>
  <c r="F375" i="1"/>
  <c r="G375" i="1"/>
  <c r="H375" i="1"/>
  <c r="J375" i="1" s="1"/>
  <c r="A624" i="1" a="1"/>
  <c r="A624" i="1" s="1"/>
  <c r="B624" i="1"/>
  <c r="C624" i="1" a="1"/>
  <c r="C624" i="1" s="1"/>
  <c r="D624" i="1" a="1"/>
  <c r="D624" i="1" s="1"/>
  <c r="E624" i="1" a="1"/>
  <c r="E624" i="1" s="1"/>
  <c r="F624" i="1"/>
  <c r="G624" i="1"/>
  <c r="H624" i="1"/>
  <c r="J624" i="1" s="1"/>
  <c r="A511" i="1" a="1"/>
  <c r="A511" i="1" s="1"/>
  <c r="B511" i="1"/>
  <c r="C511" i="1" a="1"/>
  <c r="C511" i="1" s="1"/>
  <c r="D511" i="1" a="1"/>
  <c r="D511" i="1" s="1"/>
  <c r="E511" i="1" a="1"/>
  <c r="E511" i="1" s="1"/>
  <c r="F511" i="1"/>
  <c r="G511" i="1"/>
  <c r="H511" i="1"/>
  <c r="J511" i="1" s="1"/>
  <c r="A376" i="1" a="1"/>
  <c r="A376" i="1" s="1"/>
  <c r="B376" i="1"/>
  <c r="C376" i="1" a="1"/>
  <c r="C376" i="1" s="1"/>
  <c r="D376" i="1" a="1"/>
  <c r="D376" i="1" s="1"/>
  <c r="E376" i="1" a="1"/>
  <c r="E376" i="1" s="1"/>
  <c r="F376" i="1"/>
  <c r="G376" i="1"/>
  <c r="H376" i="1"/>
  <c r="J376" i="1" s="1"/>
  <c r="A512" i="1" a="1"/>
  <c r="A512" i="1" s="1"/>
  <c r="B512" i="1"/>
  <c r="C512" i="1" a="1"/>
  <c r="C512" i="1" s="1"/>
  <c r="D512" i="1" a="1"/>
  <c r="D512" i="1" s="1"/>
  <c r="E512" i="1" a="1"/>
  <c r="E512" i="1" s="1"/>
  <c r="F512" i="1"/>
  <c r="G512" i="1"/>
  <c r="H512" i="1"/>
  <c r="J512" i="1" s="1"/>
  <c r="A304" i="1" a="1"/>
  <c r="A304" i="1" s="1"/>
  <c r="B304" i="1"/>
  <c r="C304" i="1" a="1"/>
  <c r="C304" i="1" s="1"/>
  <c r="D304" i="1" a="1"/>
  <c r="D304" i="1" s="1"/>
  <c r="E304" i="1" a="1"/>
  <c r="E304" i="1" s="1"/>
  <c r="F304" i="1"/>
  <c r="G304" i="1"/>
  <c r="H304" i="1"/>
  <c r="J304" i="1" s="1"/>
  <c r="A569" i="1" a="1"/>
  <c r="A569" i="1" s="1"/>
  <c r="B569" i="1"/>
  <c r="C569" i="1" a="1"/>
  <c r="C569" i="1" s="1"/>
  <c r="D569" i="1" a="1"/>
  <c r="D569" i="1" s="1"/>
  <c r="E569" i="1" a="1"/>
  <c r="E569" i="1" s="1"/>
  <c r="F569" i="1"/>
  <c r="G569" i="1"/>
  <c r="H569" i="1"/>
  <c r="J569" i="1" s="1"/>
  <c r="A37" i="1" a="1"/>
  <c r="A37" i="1" s="1"/>
  <c r="B37" i="1"/>
  <c r="C37" i="1" a="1"/>
  <c r="C37" i="1" s="1"/>
  <c r="D37" i="1" a="1"/>
  <c r="D37" i="1" s="1"/>
  <c r="E37" i="1" a="1"/>
  <c r="E37" i="1" s="1"/>
  <c r="F37" i="1"/>
  <c r="G37" i="1"/>
  <c r="H37" i="1"/>
  <c r="J37" i="1" s="1"/>
  <c r="A305" i="1" a="1"/>
  <c r="A305" i="1" s="1"/>
  <c r="B305" i="1"/>
  <c r="C305" i="1" a="1"/>
  <c r="C305" i="1" s="1"/>
  <c r="D305" i="1" a="1"/>
  <c r="D305" i="1" s="1"/>
  <c r="E305" i="1" a="1"/>
  <c r="E305" i="1" s="1"/>
  <c r="F305" i="1"/>
  <c r="G305" i="1"/>
  <c r="H305" i="1"/>
  <c r="J305" i="1" s="1"/>
  <c r="A168" i="1" a="1"/>
  <c r="A168" i="1" s="1"/>
  <c r="B168" i="1"/>
  <c r="C168" i="1" a="1"/>
  <c r="C168" i="1" s="1"/>
  <c r="D168" i="1" a="1"/>
  <c r="D168" i="1" s="1"/>
  <c r="E168" i="1" a="1"/>
  <c r="E168" i="1" s="1"/>
  <c r="F168" i="1"/>
  <c r="G168" i="1"/>
  <c r="H168" i="1"/>
  <c r="J168" i="1" s="1"/>
  <c r="A38" i="1" a="1"/>
  <c r="A38" i="1" s="1"/>
  <c r="B38" i="1"/>
  <c r="C38" i="1" a="1"/>
  <c r="C38" i="1" s="1"/>
  <c r="D38" i="1" a="1"/>
  <c r="D38" i="1" s="1"/>
  <c r="E38" i="1" a="1"/>
  <c r="E38" i="1" s="1"/>
  <c r="F38" i="1"/>
  <c r="G38" i="1"/>
  <c r="H38" i="1"/>
  <c r="J38" i="1" s="1"/>
  <c r="A513" i="1" a="1"/>
  <c r="A513" i="1" s="1"/>
  <c r="B513" i="1"/>
  <c r="C513" i="1" a="1"/>
  <c r="C513" i="1" s="1"/>
  <c r="D513" i="1" a="1"/>
  <c r="D513" i="1" s="1"/>
  <c r="E513" i="1" a="1"/>
  <c r="E513" i="1" s="1"/>
  <c r="F513" i="1"/>
  <c r="G513" i="1"/>
  <c r="H513" i="1"/>
  <c r="J513" i="1" s="1"/>
  <c r="A625" i="1" a="1"/>
  <c r="A625" i="1" s="1"/>
  <c r="B625" i="1"/>
  <c r="C625" i="1" a="1"/>
  <c r="C625" i="1" s="1"/>
  <c r="D625" i="1" a="1"/>
  <c r="D625" i="1" s="1"/>
  <c r="E625" i="1" a="1"/>
  <c r="E625" i="1" s="1"/>
  <c r="F625" i="1"/>
  <c r="G625" i="1"/>
  <c r="H625" i="1"/>
  <c r="J625" i="1" s="1"/>
  <c r="A39" i="1" a="1"/>
  <c r="A39" i="1" s="1"/>
  <c r="B39" i="1"/>
  <c r="C39" i="1" a="1"/>
  <c r="C39" i="1" s="1"/>
  <c r="D39" i="1" a="1"/>
  <c r="D39" i="1" s="1"/>
  <c r="E39" i="1" a="1"/>
  <c r="E39" i="1" s="1"/>
  <c r="F39" i="1"/>
  <c r="G39" i="1"/>
  <c r="H39" i="1"/>
  <c r="J39" i="1" s="1"/>
  <c r="A306" i="1" a="1"/>
  <c r="A306" i="1" s="1"/>
  <c r="B306" i="1"/>
  <c r="C306" i="1" a="1"/>
  <c r="C306" i="1" s="1"/>
  <c r="D306" i="1" a="1"/>
  <c r="D306" i="1" s="1"/>
  <c r="E306" i="1" a="1"/>
  <c r="E306" i="1" s="1"/>
  <c r="F306" i="1"/>
  <c r="G306" i="1"/>
  <c r="H306" i="1"/>
  <c r="J306" i="1" s="1"/>
  <c r="A514" i="1" a="1"/>
  <c r="A514" i="1" s="1"/>
  <c r="B514" i="1"/>
  <c r="C514" i="1" a="1"/>
  <c r="C514" i="1" s="1"/>
  <c r="D514" i="1" a="1"/>
  <c r="D514" i="1" s="1"/>
  <c r="E514" i="1" a="1"/>
  <c r="E514" i="1" s="1"/>
  <c r="F514" i="1"/>
  <c r="G514" i="1"/>
  <c r="H514" i="1"/>
  <c r="J514" i="1" s="1"/>
  <c r="A101" i="1" a="1"/>
  <c r="A101" i="1" s="1"/>
  <c r="B101" i="1"/>
  <c r="C101" i="1" a="1"/>
  <c r="C101" i="1" s="1"/>
  <c r="D101" i="1" a="1"/>
  <c r="D101" i="1" s="1"/>
  <c r="E101" i="1" a="1"/>
  <c r="E101" i="1" s="1"/>
  <c r="F101" i="1"/>
  <c r="G101" i="1"/>
  <c r="H101" i="1"/>
  <c r="J101" i="1" s="1"/>
  <c r="A377" i="1" a="1"/>
  <c r="A377" i="1" s="1"/>
  <c r="B377" i="1"/>
  <c r="C377" i="1" a="1"/>
  <c r="C377" i="1" s="1"/>
  <c r="D377" i="1" a="1"/>
  <c r="D377" i="1" s="1"/>
  <c r="E377" i="1" a="1"/>
  <c r="E377" i="1" s="1"/>
  <c r="F377" i="1"/>
  <c r="G377" i="1"/>
  <c r="H377" i="1"/>
  <c r="J377" i="1" s="1"/>
  <c r="A626" i="1" a="1"/>
  <c r="A626" i="1" s="1"/>
  <c r="B626" i="1"/>
  <c r="C626" i="1" a="1"/>
  <c r="C626" i="1" s="1"/>
  <c r="D626" i="1" a="1"/>
  <c r="D626" i="1" s="1"/>
  <c r="E626" i="1" a="1"/>
  <c r="E626" i="1" s="1"/>
  <c r="F626" i="1"/>
  <c r="G626" i="1"/>
  <c r="H626" i="1"/>
  <c r="J626" i="1" s="1"/>
  <c r="A102" i="1" a="1"/>
  <c r="A102" i="1" s="1"/>
  <c r="B102" i="1"/>
  <c r="C102" i="1" a="1"/>
  <c r="C102" i="1" s="1"/>
  <c r="D102" i="1" a="1"/>
  <c r="D102" i="1" s="1"/>
  <c r="E102" i="1" a="1"/>
  <c r="E102" i="1" s="1"/>
  <c r="F102" i="1"/>
  <c r="G102" i="1"/>
  <c r="H102" i="1"/>
  <c r="J102" i="1" s="1"/>
  <c r="A445" i="1" a="1"/>
  <c r="A445" i="1" s="1"/>
  <c r="B445" i="1"/>
  <c r="C445" i="1" a="1"/>
  <c r="C445" i="1" s="1"/>
  <c r="D445" i="1" a="1"/>
  <c r="D445" i="1" s="1"/>
  <c r="E445" i="1" a="1"/>
  <c r="E445" i="1" s="1"/>
  <c r="F445" i="1"/>
  <c r="G445" i="1"/>
  <c r="H445" i="1"/>
  <c r="A103" i="1" a="1"/>
  <c r="A103" i="1" s="1"/>
  <c r="B103" i="1"/>
  <c r="C103" i="1" a="1"/>
  <c r="C103" i="1" s="1"/>
  <c r="D103" i="1" a="1"/>
  <c r="D103" i="1" s="1"/>
  <c r="E103" i="1" a="1"/>
  <c r="E103" i="1" s="1"/>
  <c r="F103" i="1"/>
  <c r="G103" i="1"/>
  <c r="H103" i="1"/>
  <c r="J103" i="1" s="1"/>
  <c r="A446" i="1" a="1"/>
  <c r="A446" i="1" s="1"/>
  <c r="B446" i="1"/>
  <c r="C446" i="1" a="1"/>
  <c r="C446" i="1" s="1"/>
  <c r="D446" i="1" a="1"/>
  <c r="D446" i="1" s="1"/>
  <c r="E446" i="1" a="1"/>
  <c r="E446" i="1" s="1"/>
  <c r="F446" i="1"/>
  <c r="G446" i="1"/>
  <c r="H446" i="1"/>
  <c r="J446" i="1" s="1"/>
  <c r="A378" i="1" a="1"/>
  <c r="A378" i="1" s="1"/>
  <c r="B378" i="1"/>
  <c r="C378" i="1" a="1"/>
  <c r="C378" i="1" s="1"/>
  <c r="D378" i="1" a="1"/>
  <c r="D378" i="1" s="1"/>
  <c r="E378" i="1" a="1"/>
  <c r="E378" i="1" s="1"/>
  <c r="F378" i="1"/>
  <c r="G378" i="1"/>
  <c r="H378" i="1"/>
  <c r="J378" i="1" s="1"/>
  <c r="A627" i="1" a="1"/>
  <c r="A627" i="1" s="1"/>
  <c r="B627" i="1"/>
  <c r="C627" i="1" a="1"/>
  <c r="C627" i="1" s="1"/>
  <c r="D627" i="1" a="1"/>
  <c r="D627" i="1" s="1"/>
  <c r="E627" i="1" a="1"/>
  <c r="E627" i="1" s="1"/>
  <c r="F627" i="1"/>
  <c r="G627" i="1"/>
  <c r="H627" i="1"/>
  <c r="J627" i="1" s="1"/>
  <c r="A169" i="1" a="1"/>
  <c r="A169" i="1" s="1"/>
  <c r="B169" i="1"/>
  <c r="C169" i="1" a="1"/>
  <c r="C169" i="1" s="1"/>
  <c r="D169" i="1" a="1"/>
  <c r="D169" i="1" s="1"/>
  <c r="E169" i="1" a="1"/>
  <c r="E169" i="1" s="1"/>
  <c r="F169" i="1"/>
  <c r="G169" i="1"/>
  <c r="H169" i="1"/>
  <c r="J169" i="1" s="1"/>
  <c r="A237" i="1" a="1"/>
  <c r="A237" i="1" s="1"/>
  <c r="B237" i="1"/>
  <c r="C237" i="1" a="1"/>
  <c r="C237" i="1" s="1"/>
  <c r="D237" i="1" a="1"/>
  <c r="D237" i="1" s="1"/>
  <c r="E237" i="1" a="1"/>
  <c r="E237" i="1" s="1"/>
  <c r="F237" i="1"/>
  <c r="G237" i="1"/>
  <c r="H237" i="1"/>
  <c r="J237" i="1" s="1"/>
  <c r="A515" i="1" a="1"/>
  <c r="A515" i="1" s="1"/>
  <c r="B515" i="1"/>
  <c r="C515" i="1" a="1"/>
  <c r="C515" i="1" s="1"/>
  <c r="D515" i="1" a="1"/>
  <c r="D515" i="1" s="1"/>
  <c r="E515" i="1" a="1"/>
  <c r="E515" i="1" s="1"/>
  <c r="F515" i="1"/>
  <c r="G515" i="1"/>
  <c r="H515" i="1"/>
  <c r="J515" i="1" s="1"/>
  <c r="A170" i="1" a="1"/>
  <c r="A170" i="1" s="1"/>
  <c r="B170" i="1"/>
  <c r="C170" i="1" a="1"/>
  <c r="C170" i="1" s="1"/>
  <c r="D170" i="1" a="1"/>
  <c r="D170" i="1" s="1"/>
  <c r="E170" i="1" a="1"/>
  <c r="E170" i="1" s="1"/>
  <c r="F170" i="1"/>
  <c r="G170" i="1"/>
  <c r="H170" i="1"/>
  <c r="J170" i="1" s="1"/>
  <c r="A171" i="1" a="1"/>
  <c r="A171" i="1" s="1"/>
  <c r="B171" i="1"/>
  <c r="C171" i="1" a="1"/>
  <c r="C171" i="1" s="1"/>
  <c r="D171" i="1" a="1"/>
  <c r="D171" i="1" s="1"/>
  <c r="E171" i="1" a="1"/>
  <c r="E171" i="1" s="1"/>
  <c r="F171" i="1"/>
  <c r="G171" i="1"/>
  <c r="H171" i="1"/>
  <c r="J171" i="1" s="1"/>
  <c r="A447" i="1" a="1"/>
  <c r="A447" i="1" s="1"/>
  <c r="B447" i="1"/>
  <c r="C447" i="1" a="1"/>
  <c r="C447" i="1" s="1"/>
  <c r="D447" i="1" a="1"/>
  <c r="D447" i="1" s="1"/>
  <c r="E447" i="1" a="1"/>
  <c r="E447" i="1" s="1"/>
  <c r="F447" i="1"/>
  <c r="G447" i="1"/>
  <c r="H447" i="1"/>
  <c r="J447" i="1" s="1"/>
  <c r="A40" i="1" a="1"/>
  <c r="A40" i="1" s="1"/>
  <c r="B40" i="1"/>
  <c r="C40" i="1" a="1"/>
  <c r="C40" i="1" s="1"/>
  <c r="D40" i="1" a="1"/>
  <c r="D40" i="1" s="1"/>
  <c r="E40" i="1" a="1"/>
  <c r="E40" i="1" s="1"/>
  <c r="F40" i="1"/>
  <c r="G40" i="1"/>
  <c r="H40" i="1"/>
  <c r="J40" i="1" s="1"/>
  <c r="A104" i="1" a="1"/>
  <c r="A104" i="1" s="1"/>
  <c r="B104" i="1"/>
  <c r="C104" i="1" a="1"/>
  <c r="C104" i="1" s="1"/>
  <c r="D104" i="1" a="1"/>
  <c r="D104" i="1" s="1"/>
  <c r="E104" i="1" a="1"/>
  <c r="E104" i="1" s="1"/>
  <c r="F104" i="1"/>
  <c r="G104" i="1"/>
  <c r="H104" i="1"/>
  <c r="J104" i="1" s="1"/>
  <c r="A570" i="1" a="1"/>
  <c r="A570" i="1" s="1"/>
  <c r="B570" i="1"/>
  <c r="C570" i="1" a="1"/>
  <c r="C570" i="1" s="1"/>
  <c r="D570" i="1" a="1"/>
  <c r="D570" i="1" s="1"/>
  <c r="E570" i="1" a="1"/>
  <c r="E570" i="1" s="1"/>
  <c r="F570" i="1"/>
  <c r="G570" i="1"/>
  <c r="H570" i="1"/>
  <c r="J570" i="1" s="1"/>
  <c r="A516" i="1" a="1"/>
  <c r="A516" i="1" s="1"/>
  <c r="B516" i="1"/>
  <c r="C516" i="1" a="1"/>
  <c r="C516" i="1" s="1"/>
  <c r="D516" i="1" a="1"/>
  <c r="D516" i="1" s="1"/>
  <c r="E516" i="1" a="1"/>
  <c r="E516" i="1" s="1"/>
  <c r="F516" i="1"/>
  <c r="G516" i="1"/>
  <c r="H516" i="1"/>
  <c r="J516" i="1" s="1"/>
  <c r="A448" i="1" a="1"/>
  <c r="A448" i="1" s="1"/>
  <c r="B448" i="1"/>
  <c r="C448" i="1" a="1"/>
  <c r="C448" i="1" s="1"/>
  <c r="D448" i="1" a="1"/>
  <c r="D448" i="1" s="1"/>
  <c r="E448" i="1" a="1"/>
  <c r="E448" i="1" s="1"/>
  <c r="F448" i="1"/>
  <c r="G448" i="1"/>
  <c r="H448" i="1"/>
  <c r="J448" i="1" s="1"/>
  <c r="A571" i="1" a="1"/>
  <c r="A571" i="1" s="1"/>
  <c r="B571" i="1"/>
  <c r="C571" i="1" a="1"/>
  <c r="C571" i="1" s="1"/>
  <c r="D571" i="1" a="1"/>
  <c r="D571" i="1" s="1"/>
  <c r="E571" i="1" a="1"/>
  <c r="E571" i="1" s="1"/>
  <c r="F571" i="1"/>
  <c r="G571" i="1"/>
  <c r="H571" i="1"/>
  <c r="J571" i="1" s="1"/>
  <c r="A307" i="1" a="1"/>
  <c r="A307" i="1" s="1"/>
  <c r="B307" i="1"/>
  <c r="C307" i="1" a="1"/>
  <c r="C307" i="1" s="1"/>
  <c r="D307" i="1" a="1"/>
  <c r="D307" i="1" s="1"/>
  <c r="E307" i="1" a="1"/>
  <c r="E307" i="1" s="1"/>
  <c r="F307" i="1"/>
  <c r="G307" i="1"/>
  <c r="H307" i="1"/>
  <c r="J307" i="1" s="1"/>
  <c r="A379" i="1" a="1"/>
  <c r="A379" i="1" s="1"/>
  <c r="B379" i="1"/>
  <c r="C379" i="1" a="1"/>
  <c r="C379" i="1" s="1"/>
  <c r="D379" i="1" a="1"/>
  <c r="D379" i="1" s="1"/>
  <c r="E379" i="1" a="1"/>
  <c r="E379" i="1" s="1"/>
  <c r="F379" i="1"/>
  <c r="G379" i="1"/>
  <c r="H379" i="1"/>
  <c r="A41" i="1" a="1"/>
  <c r="A41" i="1" s="1"/>
  <c r="B41" i="1"/>
  <c r="C41" i="1" a="1"/>
  <c r="C41" i="1" s="1"/>
  <c r="D41" i="1" a="1"/>
  <c r="D41" i="1" s="1"/>
  <c r="E41" i="1" a="1"/>
  <c r="E41" i="1" s="1"/>
  <c r="F41" i="1"/>
  <c r="G41" i="1"/>
  <c r="H41" i="1"/>
  <c r="J41" i="1" s="1"/>
  <c r="A308" i="1" a="1"/>
  <c r="A308" i="1" s="1"/>
  <c r="B308" i="1"/>
  <c r="C308" i="1" a="1"/>
  <c r="C308" i="1" s="1"/>
  <c r="D308" i="1" a="1"/>
  <c r="D308" i="1" s="1"/>
  <c r="E308" i="1" a="1"/>
  <c r="E308" i="1" s="1"/>
  <c r="F308" i="1"/>
  <c r="G308" i="1"/>
  <c r="H308" i="1"/>
  <c r="J308" i="1" s="1"/>
  <c r="A572" i="1" a="1"/>
  <c r="A572" i="1" s="1"/>
  <c r="B572" i="1"/>
  <c r="C572" i="1" a="1"/>
  <c r="C572" i="1" s="1"/>
  <c r="D572" i="1" a="1"/>
  <c r="D572" i="1" s="1"/>
  <c r="E572" i="1" a="1"/>
  <c r="E572" i="1" s="1"/>
  <c r="F572" i="1"/>
  <c r="G572" i="1"/>
  <c r="H572" i="1"/>
  <c r="J572" i="1" s="1"/>
  <c r="A309" i="1" a="1"/>
  <c r="A309" i="1" s="1"/>
  <c r="B309" i="1"/>
  <c r="C309" i="1" a="1"/>
  <c r="C309" i="1" s="1"/>
  <c r="D309" i="1" a="1"/>
  <c r="D309" i="1" s="1"/>
  <c r="E309" i="1" a="1"/>
  <c r="E309" i="1" s="1"/>
  <c r="F309" i="1"/>
  <c r="G309" i="1"/>
  <c r="H309" i="1"/>
  <c r="J309" i="1" s="1"/>
  <c r="A238" i="1" a="1"/>
  <c r="A238" i="1" s="1"/>
  <c r="B238" i="1"/>
  <c r="C238" i="1" a="1"/>
  <c r="C238" i="1" s="1"/>
  <c r="D238" i="1" a="1"/>
  <c r="D238" i="1" s="1"/>
  <c r="E238" i="1" a="1"/>
  <c r="E238" i="1" s="1"/>
  <c r="F238" i="1"/>
  <c r="G238" i="1"/>
  <c r="H238" i="1"/>
  <c r="A628" i="1" a="1"/>
  <c r="A628" i="1" s="1"/>
  <c r="B628" i="1"/>
  <c r="C628" i="1" a="1"/>
  <c r="C628" i="1" s="1"/>
  <c r="D628" i="1" a="1"/>
  <c r="D628" i="1" s="1"/>
  <c r="E628" i="1" a="1"/>
  <c r="E628" i="1" s="1"/>
  <c r="F628" i="1"/>
  <c r="G628" i="1"/>
  <c r="H628" i="1"/>
  <c r="J628" i="1" s="1"/>
  <c r="A449" i="1" a="1"/>
  <c r="A449" i="1" s="1"/>
  <c r="B449" i="1"/>
  <c r="C449" i="1" a="1"/>
  <c r="C449" i="1" s="1"/>
  <c r="D449" i="1" a="1"/>
  <c r="D449" i="1" s="1"/>
  <c r="E449" i="1" a="1"/>
  <c r="E449" i="1" s="1"/>
  <c r="F449" i="1"/>
  <c r="G449" i="1"/>
  <c r="H449" i="1"/>
  <c r="A450" i="1" a="1"/>
  <c r="A450" i="1" s="1"/>
  <c r="B450" i="1"/>
  <c r="C450" i="1" a="1"/>
  <c r="C450" i="1" s="1"/>
  <c r="D450" i="1" a="1"/>
  <c r="D450" i="1" s="1"/>
  <c r="E450" i="1" a="1"/>
  <c r="E450" i="1" s="1"/>
  <c r="F450" i="1"/>
  <c r="G450" i="1"/>
  <c r="H450" i="1"/>
  <c r="J450" i="1" s="1"/>
  <c r="A310" i="1" a="1"/>
  <c r="A310" i="1" s="1"/>
  <c r="B310" i="1"/>
  <c r="C310" i="1" a="1"/>
  <c r="C310" i="1" s="1"/>
  <c r="D310" i="1" a="1"/>
  <c r="D310" i="1" s="1"/>
  <c r="E310" i="1" a="1"/>
  <c r="E310" i="1" s="1"/>
  <c r="F310" i="1"/>
  <c r="G310" i="1"/>
  <c r="H310" i="1"/>
  <c r="J310" i="1" s="1"/>
  <c r="A380" i="1" a="1"/>
  <c r="A380" i="1" s="1"/>
  <c r="B380" i="1"/>
  <c r="C380" i="1" a="1"/>
  <c r="C380" i="1" s="1"/>
  <c r="D380" i="1" a="1"/>
  <c r="D380" i="1" s="1"/>
  <c r="E380" i="1" a="1"/>
  <c r="E380" i="1" s="1"/>
  <c r="F380" i="1"/>
  <c r="G380" i="1"/>
  <c r="H380" i="1"/>
  <c r="J380" i="1" s="1"/>
  <c r="A451" i="1" a="1"/>
  <c r="A451" i="1" s="1"/>
  <c r="B451" i="1"/>
  <c r="C451" i="1" a="1"/>
  <c r="C451" i="1" s="1"/>
  <c r="D451" i="1" a="1"/>
  <c r="D451" i="1" s="1"/>
  <c r="E451" i="1" a="1"/>
  <c r="E451" i="1" s="1"/>
  <c r="F451" i="1"/>
  <c r="G451" i="1"/>
  <c r="H451" i="1"/>
  <c r="A311" i="1" a="1"/>
  <c r="A311" i="1" s="1"/>
  <c r="B311" i="1"/>
  <c r="C311" i="1" a="1"/>
  <c r="C311" i="1" s="1"/>
  <c r="D311" i="1" a="1"/>
  <c r="D311" i="1" s="1"/>
  <c r="E311" i="1" a="1"/>
  <c r="E311" i="1" s="1"/>
  <c r="F311" i="1"/>
  <c r="G311" i="1"/>
  <c r="H311" i="1"/>
  <c r="A239" i="1" a="1"/>
  <c r="A239" i="1" s="1"/>
  <c r="B239" i="1"/>
  <c r="C239" i="1" a="1"/>
  <c r="C239" i="1" s="1"/>
  <c r="D239" i="1" a="1"/>
  <c r="D239" i="1" s="1"/>
  <c r="E239" i="1" a="1"/>
  <c r="E239" i="1" s="1"/>
  <c r="F239" i="1"/>
  <c r="G239" i="1"/>
  <c r="H239" i="1"/>
  <c r="J239" i="1" s="1"/>
  <c r="A105" i="1" a="1"/>
  <c r="A105" i="1" s="1"/>
  <c r="B105" i="1"/>
  <c r="C105" i="1" a="1"/>
  <c r="C105" i="1" s="1"/>
  <c r="D105" i="1" a="1"/>
  <c r="D105" i="1" s="1"/>
  <c r="E105" i="1" a="1"/>
  <c r="E105" i="1" s="1"/>
  <c r="F105" i="1"/>
  <c r="G105" i="1"/>
  <c r="H105" i="1"/>
  <c r="A381" i="1" a="1"/>
  <c r="A381" i="1" s="1"/>
  <c r="B381" i="1"/>
  <c r="C381" i="1" a="1"/>
  <c r="C381" i="1" s="1"/>
  <c r="D381" i="1" a="1"/>
  <c r="D381" i="1" s="1"/>
  <c r="E381" i="1" a="1"/>
  <c r="E381" i="1" s="1"/>
  <c r="F381" i="1"/>
  <c r="G381" i="1"/>
  <c r="H381" i="1"/>
  <c r="A629" i="1" a="1"/>
  <c r="A629" i="1" s="1"/>
  <c r="B629" i="1"/>
  <c r="C629" i="1" a="1"/>
  <c r="C629" i="1" s="1"/>
  <c r="D629" i="1" a="1"/>
  <c r="D629" i="1" s="1"/>
  <c r="E629" i="1" a="1"/>
  <c r="E629" i="1" s="1"/>
  <c r="F629" i="1"/>
  <c r="G629" i="1"/>
  <c r="H629" i="1"/>
  <c r="A106" i="1" a="1"/>
  <c r="A106" i="1" s="1"/>
  <c r="B106" i="1"/>
  <c r="C106" i="1" a="1"/>
  <c r="C106" i="1" s="1"/>
  <c r="D106" i="1" a="1"/>
  <c r="D106" i="1" s="1"/>
  <c r="E106" i="1" a="1"/>
  <c r="E106" i="1" s="1"/>
  <c r="F106" i="1"/>
  <c r="G106" i="1"/>
  <c r="H106" i="1"/>
  <c r="A382" i="1" a="1"/>
  <c r="A382" i="1" s="1"/>
  <c r="B382" i="1"/>
  <c r="C382" i="1" a="1"/>
  <c r="C382" i="1" s="1"/>
  <c r="D382" i="1" a="1"/>
  <c r="D382" i="1" s="1"/>
  <c r="E382" i="1" a="1"/>
  <c r="E382" i="1" s="1"/>
  <c r="F382" i="1"/>
  <c r="G382" i="1"/>
  <c r="H382" i="1"/>
  <c r="J382" i="1" s="1"/>
  <c r="A107" i="1" a="1"/>
  <c r="A107" i="1" s="1"/>
  <c r="B107" i="1"/>
  <c r="C107" i="1" a="1"/>
  <c r="C107" i="1" s="1"/>
  <c r="D107" i="1" a="1"/>
  <c r="D107" i="1" s="1"/>
  <c r="E107" i="1" a="1"/>
  <c r="E107" i="1" s="1"/>
  <c r="F107" i="1"/>
  <c r="G107" i="1"/>
  <c r="H107" i="1"/>
  <c r="J107" i="1" s="1"/>
  <c r="A42" i="1" a="1"/>
  <c r="A42" i="1" s="1"/>
  <c r="B42" i="1"/>
  <c r="C42" i="1" a="1"/>
  <c r="C42" i="1" s="1"/>
  <c r="D42" i="1" a="1"/>
  <c r="D42" i="1" s="1"/>
  <c r="E42" i="1" a="1"/>
  <c r="E42" i="1" s="1"/>
  <c r="F42" i="1"/>
  <c r="G42" i="1"/>
  <c r="H42" i="1"/>
  <c r="A312" i="1" a="1"/>
  <c r="A312" i="1" s="1"/>
  <c r="B312" i="1"/>
  <c r="C312" i="1" a="1"/>
  <c r="C312" i="1" s="1"/>
  <c r="D312" i="1" a="1"/>
  <c r="D312" i="1" s="1"/>
  <c r="E312" i="1" a="1"/>
  <c r="E312" i="1" s="1"/>
  <c r="F312" i="1"/>
  <c r="G312" i="1"/>
  <c r="H312" i="1"/>
  <c r="A240" i="1" a="1"/>
  <c r="A240" i="1" s="1"/>
  <c r="B240" i="1"/>
  <c r="C240" i="1" a="1"/>
  <c r="C240" i="1" s="1"/>
  <c r="D240" i="1" a="1"/>
  <c r="D240" i="1" s="1"/>
  <c r="E240" i="1" a="1"/>
  <c r="E240" i="1" s="1"/>
  <c r="F240" i="1"/>
  <c r="G240" i="1"/>
  <c r="H240" i="1"/>
  <c r="J240" i="1" s="1"/>
  <c r="A241" i="1" a="1"/>
  <c r="A241" i="1" s="1"/>
  <c r="B241" i="1"/>
  <c r="C241" i="1" a="1"/>
  <c r="C241" i="1" s="1"/>
  <c r="D241" i="1" a="1"/>
  <c r="D241" i="1" s="1"/>
  <c r="E241" i="1" a="1"/>
  <c r="E241" i="1" s="1"/>
  <c r="F241" i="1"/>
  <c r="G241" i="1"/>
  <c r="H241" i="1"/>
  <c r="A313" i="1" a="1"/>
  <c r="A313" i="1" s="1"/>
  <c r="B313" i="1"/>
  <c r="C313" i="1" a="1"/>
  <c r="C313" i="1" s="1"/>
  <c r="D313" i="1" a="1"/>
  <c r="D313" i="1" s="1"/>
  <c r="E313" i="1" a="1"/>
  <c r="E313" i="1" s="1"/>
  <c r="F313" i="1"/>
  <c r="G313" i="1"/>
  <c r="H313" i="1"/>
  <c r="J313" i="1" s="1"/>
  <c r="A383" i="1" a="1"/>
  <c r="A383" i="1" s="1"/>
  <c r="B383" i="1"/>
  <c r="C383" i="1" a="1"/>
  <c r="C383" i="1" s="1"/>
  <c r="D383" i="1" a="1"/>
  <c r="D383" i="1" s="1"/>
  <c r="E383" i="1" a="1"/>
  <c r="E383" i="1" s="1"/>
  <c r="F383" i="1"/>
  <c r="G383" i="1"/>
  <c r="H383" i="1"/>
  <c r="J383" i="1" s="1"/>
  <c r="A517" i="1" a="1"/>
  <c r="A517" i="1" s="1"/>
  <c r="B517" i="1"/>
  <c r="C517" i="1" a="1"/>
  <c r="C517" i="1" s="1"/>
  <c r="D517" i="1" a="1"/>
  <c r="D517" i="1" s="1"/>
  <c r="E517" i="1" a="1"/>
  <c r="E517" i="1" s="1"/>
  <c r="F517" i="1"/>
  <c r="G517" i="1"/>
  <c r="H517" i="1"/>
  <c r="J517" i="1" s="1"/>
  <c r="A518" i="1" a="1"/>
  <c r="A518" i="1" s="1"/>
  <c r="B518" i="1"/>
  <c r="C518" i="1" a="1"/>
  <c r="C518" i="1" s="1"/>
  <c r="D518" i="1" a="1"/>
  <c r="D518" i="1" s="1"/>
  <c r="E518" i="1" a="1"/>
  <c r="E518" i="1" s="1"/>
  <c r="F518" i="1"/>
  <c r="G518" i="1"/>
  <c r="H518" i="1"/>
  <c r="A519" i="1" a="1"/>
  <c r="A519" i="1" s="1"/>
  <c r="B519" i="1"/>
  <c r="C519" i="1" a="1"/>
  <c r="C519" i="1" s="1"/>
  <c r="D519" i="1" a="1"/>
  <c r="D519" i="1" s="1"/>
  <c r="E519" i="1" a="1"/>
  <c r="E519" i="1" s="1"/>
  <c r="F519" i="1"/>
  <c r="G519" i="1"/>
  <c r="H519" i="1"/>
  <c r="A43" i="1" a="1"/>
  <c r="A43" i="1" s="1"/>
  <c r="B43" i="1"/>
  <c r="C43" i="1" a="1"/>
  <c r="C43" i="1" s="1"/>
  <c r="D43" i="1" a="1"/>
  <c r="D43" i="1" s="1"/>
  <c r="E43" i="1" a="1"/>
  <c r="E43" i="1" s="1"/>
  <c r="F43" i="1"/>
  <c r="G43" i="1"/>
  <c r="H43" i="1"/>
  <c r="J43" i="1" s="1"/>
  <c r="A108" i="1" a="1"/>
  <c r="A108" i="1" s="1"/>
  <c r="B108" i="1"/>
  <c r="C108" i="1" a="1"/>
  <c r="C108" i="1" s="1"/>
  <c r="D108" i="1" a="1"/>
  <c r="D108" i="1" s="1"/>
  <c r="E108" i="1" a="1"/>
  <c r="E108" i="1" s="1"/>
  <c r="F108" i="1"/>
  <c r="G108" i="1"/>
  <c r="H108" i="1"/>
  <c r="J108" i="1" s="1"/>
  <c r="A573" i="1" a="1"/>
  <c r="A573" i="1" s="1"/>
  <c r="B573" i="1"/>
  <c r="C573" i="1" a="1"/>
  <c r="C573" i="1" s="1"/>
  <c r="D573" i="1" a="1"/>
  <c r="D573" i="1" s="1"/>
  <c r="E573" i="1" a="1"/>
  <c r="E573" i="1" s="1"/>
  <c r="F573" i="1"/>
  <c r="G573" i="1"/>
  <c r="H573" i="1"/>
  <c r="J573" i="1" s="1"/>
  <c r="A242" i="1" a="1"/>
  <c r="A242" i="1" s="1"/>
  <c r="B242" i="1"/>
  <c r="C242" i="1" a="1"/>
  <c r="C242" i="1" s="1"/>
  <c r="D242" i="1" a="1"/>
  <c r="D242" i="1" s="1"/>
  <c r="E242" i="1" a="1"/>
  <c r="E242" i="1" s="1"/>
  <c r="F242" i="1"/>
  <c r="G242" i="1"/>
  <c r="H242" i="1"/>
  <c r="A384" i="1" a="1"/>
  <c r="A384" i="1" s="1"/>
  <c r="B384" i="1"/>
  <c r="C384" i="1" a="1"/>
  <c r="C384" i="1" s="1"/>
  <c r="D384" i="1" a="1"/>
  <c r="D384" i="1" s="1"/>
  <c r="E384" i="1" a="1"/>
  <c r="E384" i="1" s="1"/>
  <c r="F384" i="1"/>
  <c r="G384" i="1"/>
  <c r="H384" i="1"/>
  <c r="J384" i="1" s="1"/>
  <c r="A314" i="1" a="1"/>
  <c r="A314" i="1" s="1"/>
  <c r="B314" i="1"/>
  <c r="C314" i="1" a="1"/>
  <c r="C314" i="1" s="1"/>
  <c r="D314" i="1" a="1"/>
  <c r="D314" i="1" s="1"/>
  <c r="E314" i="1" a="1"/>
  <c r="E314" i="1" s="1"/>
  <c r="F314" i="1"/>
  <c r="G314" i="1"/>
  <c r="H314" i="1"/>
  <c r="J314" i="1" s="1"/>
  <c r="A574" i="1" a="1"/>
  <c r="A574" i="1" s="1"/>
  <c r="B574" i="1"/>
  <c r="C574" i="1" a="1"/>
  <c r="C574" i="1" s="1"/>
  <c r="D574" i="1" a="1"/>
  <c r="D574" i="1" s="1"/>
  <c r="E574" i="1" a="1"/>
  <c r="E574" i="1" s="1"/>
  <c r="F574" i="1"/>
  <c r="G574" i="1"/>
  <c r="H574" i="1"/>
  <c r="J574" i="1" s="1"/>
  <c r="A315" i="1" a="1"/>
  <c r="A315" i="1" s="1"/>
  <c r="B315" i="1"/>
  <c r="C315" i="1" a="1"/>
  <c r="C315" i="1" s="1"/>
  <c r="D315" i="1" a="1"/>
  <c r="D315" i="1" s="1"/>
  <c r="E315" i="1" a="1"/>
  <c r="E315" i="1" s="1"/>
  <c r="F315" i="1"/>
  <c r="G315" i="1"/>
  <c r="H315" i="1"/>
  <c r="A520" i="1" a="1"/>
  <c r="A520" i="1" s="1"/>
  <c r="B520" i="1"/>
  <c r="C520" i="1" a="1"/>
  <c r="C520" i="1" s="1"/>
  <c r="D520" i="1" a="1"/>
  <c r="D520" i="1" s="1"/>
  <c r="E520" i="1" a="1"/>
  <c r="E520" i="1" s="1"/>
  <c r="F520" i="1"/>
  <c r="G520" i="1"/>
  <c r="H520" i="1"/>
  <c r="A521" i="1" a="1"/>
  <c r="A521" i="1" s="1"/>
  <c r="B521" i="1"/>
  <c r="C521" i="1" a="1"/>
  <c r="C521" i="1" s="1"/>
  <c r="D521" i="1" a="1"/>
  <c r="D521" i="1" s="1"/>
  <c r="E521" i="1" a="1"/>
  <c r="E521" i="1" s="1"/>
  <c r="F521" i="1"/>
  <c r="G521" i="1"/>
  <c r="H521" i="1"/>
  <c r="J521" i="1" s="1"/>
  <c r="A243" i="1" a="1"/>
  <c r="A243" i="1" s="1"/>
  <c r="B243" i="1"/>
  <c r="C243" i="1" a="1"/>
  <c r="C243" i="1" s="1"/>
  <c r="D243" i="1" a="1"/>
  <c r="D243" i="1" s="1"/>
  <c r="E243" i="1" a="1"/>
  <c r="E243" i="1" s="1"/>
  <c r="F243" i="1"/>
  <c r="G243" i="1"/>
  <c r="H243" i="1"/>
  <c r="J243" i="1" s="1"/>
  <c r="A244" i="1" a="1"/>
  <c r="A244" i="1" s="1"/>
  <c r="B244" i="1"/>
  <c r="C244" i="1" a="1"/>
  <c r="C244" i="1" s="1"/>
  <c r="D244" i="1" a="1"/>
  <c r="D244" i="1" s="1"/>
  <c r="E244" i="1" a="1"/>
  <c r="E244" i="1" s="1"/>
  <c r="F244" i="1"/>
  <c r="G244" i="1"/>
  <c r="H244" i="1"/>
  <c r="J244" i="1" s="1"/>
  <c r="A316" i="1" a="1"/>
  <c r="A316" i="1" s="1"/>
  <c r="B316" i="1"/>
  <c r="C316" i="1" a="1"/>
  <c r="C316" i="1" s="1"/>
  <c r="D316" i="1" a="1"/>
  <c r="D316" i="1" s="1"/>
  <c r="E316" i="1" a="1"/>
  <c r="E316" i="1" s="1"/>
  <c r="F316" i="1"/>
  <c r="G316" i="1"/>
  <c r="H316" i="1"/>
  <c r="J316" i="1" s="1"/>
  <c r="A630" i="1" a="1"/>
  <c r="A630" i="1" s="1"/>
  <c r="B630" i="1"/>
  <c r="C630" i="1" a="1"/>
  <c r="C630" i="1" s="1"/>
  <c r="D630" i="1" a="1"/>
  <c r="D630" i="1" s="1"/>
  <c r="E630" i="1" a="1"/>
  <c r="E630" i="1" s="1"/>
  <c r="F630" i="1"/>
  <c r="G630" i="1"/>
  <c r="H630" i="1"/>
  <c r="J630" i="1" s="1"/>
  <c r="A172" i="1" a="1"/>
  <c r="A172" i="1" s="1"/>
  <c r="B172" i="1"/>
  <c r="C172" i="1" a="1"/>
  <c r="C172" i="1" s="1"/>
  <c r="D172" i="1" a="1"/>
  <c r="D172" i="1" s="1"/>
  <c r="E172" i="1" a="1"/>
  <c r="E172" i="1" s="1"/>
  <c r="F172" i="1"/>
  <c r="G172" i="1"/>
  <c r="H172" i="1"/>
  <c r="J172" i="1" s="1"/>
  <c r="A522" i="1" a="1"/>
  <c r="A522" i="1" s="1"/>
  <c r="B522" i="1"/>
  <c r="C522" i="1" a="1"/>
  <c r="C522" i="1" s="1"/>
  <c r="D522" i="1" a="1"/>
  <c r="D522" i="1" s="1"/>
  <c r="E522" i="1" a="1"/>
  <c r="E522" i="1" s="1"/>
  <c r="F522" i="1"/>
  <c r="G522" i="1"/>
  <c r="H522" i="1"/>
  <c r="J522" i="1" s="1"/>
  <c r="A109" i="1" a="1"/>
  <c r="A109" i="1" s="1"/>
  <c r="B109" i="1"/>
  <c r="C109" i="1" a="1"/>
  <c r="C109" i="1" s="1"/>
  <c r="D109" i="1" a="1"/>
  <c r="D109" i="1" s="1"/>
  <c r="E109" i="1" a="1"/>
  <c r="E109" i="1" s="1"/>
  <c r="F109" i="1"/>
  <c r="G109" i="1"/>
  <c r="H109" i="1"/>
  <c r="J109" i="1" s="1"/>
  <c r="A575" i="1" a="1"/>
  <c r="A575" i="1" s="1"/>
  <c r="B575" i="1"/>
  <c r="C575" i="1" a="1"/>
  <c r="C575" i="1" s="1"/>
  <c r="D575" i="1" a="1"/>
  <c r="D575" i="1" s="1"/>
  <c r="E575" i="1" a="1"/>
  <c r="E575" i="1" s="1"/>
  <c r="F575" i="1"/>
  <c r="G575" i="1"/>
  <c r="H575" i="1"/>
  <c r="J575" i="1" s="1"/>
  <c r="A110" i="1" a="1"/>
  <c r="A110" i="1" s="1"/>
  <c r="B110" i="1"/>
  <c r="C110" i="1" a="1"/>
  <c r="C110" i="1" s="1"/>
  <c r="D110" i="1" a="1"/>
  <c r="D110" i="1" s="1"/>
  <c r="E110" i="1" a="1"/>
  <c r="E110" i="1" s="1"/>
  <c r="F110" i="1"/>
  <c r="G110" i="1"/>
  <c r="H110" i="1"/>
  <c r="J110" i="1" s="1"/>
  <c r="A576" i="1" a="1"/>
  <c r="A576" i="1" s="1"/>
  <c r="B576" i="1"/>
  <c r="C576" i="1" a="1"/>
  <c r="C576" i="1" s="1"/>
  <c r="D576" i="1" a="1"/>
  <c r="D576" i="1" s="1"/>
  <c r="E576" i="1" a="1"/>
  <c r="E576" i="1" s="1"/>
  <c r="F576" i="1"/>
  <c r="G576" i="1"/>
  <c r="H576" i="1"/>
  <c r="A317" i="1" a="1"/>
  <c r="A317" i="1" s="1"/>
  <c r="B317" i="1"/>
  <c r="C317" i="1" a="1"/>
  <c r="C317" i="1" s="1"/>
  <c r="D317" i="1" a="1"/>
  <c r="D317" i="1" s="1"/>
  <c r="E317" i="1" a="1"/>
  <c r="E317" i="1" s="1"/>
  <c r="F317" i="1"/>
  <c r="G317" i="1"/>
  <c r="H317" i="1"/>
  <c r="J317" i="1" s="1"/>
  <c r="A385" i="1" a="1"/>
  <c r="A385" i="1" s="1"/>
  <c r="B385" i="1"/>
  <c r="C385" i="1" a="1"/>
  <c r="C385" i="1" s="1"/>
  <c r="D385" i="1" a="1"/>
  <c r="D385" i="1" s="1"/>
  <c r="E385" i="1" a="1"/>
  <c r="E385" i="1" s="1"/>
  <c r="F385" i="1"/>
  <c r="G385" i="1"/>
  <c r="H385" i="1"/>
  <c r="J385" i="1" s="1"/>
  <c r="A173" i="1" a="1"/>
  <c r="A173" i="1" s="1"/>
  <c r="B173" i="1"/>
  <c r="C173" i="1" a="1"/>
  <c r="C173" i="1" s="1"/>
  <c r="D173" i="1" a="1"/>
  <c r="D173" i="1" s="1"/>
  <c r="E173" i="1" a="1"/>
  <c r="E173" i="1" s="1"/>
  <c r="F173" i="1"/>
  <c r="G173" i="1"/>
  <c r="H173" i="1"/>
  <c r="J173" i="1" s="1"/>
  <c r="A631" i="1" a="1"/>
  <c r="A631" i="1" s="1"/>
  <c r="B631" i="1"/>
  <c r="C631" i="1" a="1"/>
  <c r="C631" i="1" s="1"/>
  <c r="D631" i="1" a="1"/>
  <c r="D631" i="1" s="1"/>
  <c r="E631" i="1" a="1"/>
  <c r="E631" i="1" s="1"/>
  <c r="F631" i="1"/>
  <c r="G631" i="1"/>
  <c r="H631" i="1"/>
  <c r="J631" i="1" s="1"/>
  <c r="A174" i="1" a="1"/>
  <c r="A174" i="1" s="1"/>
  <c r="B174" i="1"/>
  <c r="C174" i="1" a="1"/>
  <c r="C174" i="1" s="1"/>
  <c r="D174" i="1" a="1"/>
  <c r="D174" i="1" s="1"/>
  <c r="E174" i="1" a="1"/>
  <c r="E174" i="1" s="1"/>
  <c r="F174" i="1"/>
  <c r="G174" i="1"/>
  <c r="H174" i="1"/>
  <c r="J174" i="1" s="1"/>
  <c r="A386" i="1" a="1"/>
  <c r="A386" i="1" s="1"/>
  <c r="B386" i="1"/>
  <c r="C386" i="1" a="1"/>
  <c r="C386" i="1" s="1"/>
  <c r="D386" i="1" a="1"/>
  <c r="D386" i="1" s="1"/>
  <c r="E386" i="1" a="1"/>
  <c r="E386" i="1" s="1"/>
  <c r="F386" i="1"/>
  <c r="G386" i="1"/>
  <c r="H386" i="1"/>
  <c r="J386" i="1" s="1"/>
  <c r="A452" i="1" a="1"/>
  <c r="A452" i="1" s="1"/>
  <c r="B452" i="1"/>
  <c r="C452" i="1" a="1"/>
  <c r="C452" i="1" s="1"/>
  <c r="D452" i="1" a="1"/>
  <c r="D452" i="1" s="1"/>
  <c r="E452" i="1" a="1"/>
  <c r="E452" i="1" s="1"/>
  <c r="F452" i="1"/>
  <c r="G452" i="1"/>
  <c r="H452" i="1"/>
  <c r="J452" i="1" s="1"/>
  <c r="A632" i="1" a="1"/>
  <c r="A632" i="1" s="1"/>
  <c r="B632" i="1"/>
  <c r="C632" i="1" a="1"/>
  <c r="C632" i="1" s="1"/>
  <c r="D632" i="1" a="1"/>
  <c r="D632" i="1" s="1"/>
  <c r="E632" i="1" a="1"/>
  <c r="E632" i="1" s="1"/>
  <c r="F632" i="1"/>
  <c r="G632" i="1"/>
  <c r="H632" i="1"/>
  <c r="A633" i="1" a="1"/>
  <c r="A633" i="1" s="1"/>
  <c r="B633" i="1"/>
  <c r="C633" i="1" a="1"/>
  <c r="C633" i="1" s="1"/>
  <c r="D633" i="1" a="1"/>
  <c r="D633" i="1" s="1"/>
  <c r="E633" i="1" a="1"/>
  <c r="E633" i="1" s="1"/>
  <c r="F633" i="1"/>
  <c r="G633" i="1"/>
  <c r="H633" i="1"/>
  <c r="A175" i="1" a="1"/>
  <c r="A175" i="1" s="1"/>
  <c r="B175" i="1"/>
  <c r="C175" i="1" a="1"/>
  <c r="C175" i="1" s="1"/>
  <c r="D175" i="1" a="1"/>
  <c r="D175" i="1" s="1"/>
  <c r="E175" i="1" a="1"/>
  <c r="E175" i="1" s="1"/>
  <c r="F175" i="1"/>
  <c r="G175" i="1"/>
  <c r="H175" i="1"/>
  <c r="J175" i="1" s="1"/>
  <c r="A523" i="1" a="1"/>
  <c r="A523" i="1" s="1"/>
  <c r="B523" i="1"/>
  <c r="C523" i="1" a="1"/>
  <c r="C523" i="1" s="1"/>
  <c r="D523" i="1" a="1"/>
  <c r="D523" i="1" s="1"/>
  <c r="E523" i="1" a="1"/>
  <c r="E523" i="1" s="1"/>
  <c r="F523" i="1"/>
  <c r="G523" i="1"/>
  <c r="H523" i="1"/>
  <c r="J523" i="1" s="1"/>
  <c r="A176" i="1" a="1"/>
  <c r="A176" i="1" s="1"/>
  <c r="B176" i="1"/>
  <c r="C176" i="1" a="1"/>
  <c r="C176" i="1" s="1"/>
  <c r="D176" i="1" a="1"/>
  <c r="D176" i="1" s="1"/>
  <c r="E176" i="1" a="1"/>
  <c r="E176" i="1" s="1"/>
  <c r="F176" i="1"/>
  <c r="G176" i="1"/>
  <c r="H176" i="1"/>
  <c r="J176" i="1" s="1"/>
  <c r="A453" i="1" a="1"/>
  <c r="A453" i="1" s="1"/>
  <c r="B453" i="1"/>
  <c r="C453" i="1" a="1"/>
  <c r="C453" i="1" s="1"/>
  <c r="D453" i="1" a="1"/>
  <c r="D453" i="1" s="1"/>
  <c r="E453" i="1" a="1"/>
  <c r="E453" i="1" s="1"/>
  <c r="F453" i="1"/>
  <c r="G453" i="1"/>
  <c r="H453" i="1"/>
  <c r="A454" i="1" a="1"/>
  <c r="A454" i="1" s="1"/>
  <c r="B454" i="1"/>
  <c r="C454" i="1" a="1"/>
  <c r="C454" i="1" s="1"/>
  <c r="D454" i="1" a="1"/>
  <c r="D454" i="1" s="1"/>
  <c r="E454" i="1" a="1"/>
  <c r="E454" i="1" s="1"/>
  <c r="F454" i="1"/>
  <c r="G454" i="1"/>
  <c r="H454" i="1"/>
  <c r="J454" i="1" s="1"/>
  <c r="A577" i="1" a="1"/>
  <c r="A577" i="1" s="1"/>
  <c r="B577" i="1"/>
  <c r="C577" i="1" a="1"/>
  <c r="C577" i="1" s="1"/>
  <c r="D577" i="1" a="1"/>
  <c r="D577" i="1" s="1"/>
  <c r="E577" i="1" a="1"/>
  <c r="E577" i="1" s="1"/>
  <c r="F577" i="1"/>
  <c r="G577" i="1"/>
  <c r="H577" i="1"/>
  <c r="J577" i="1" s="1"/>
  <c r="A245" i="1" a="1"/>
  <c r="A245" i="1" s="1"/>
  <c r="B245" i="1"/>
  <c r="C245" i="1" a="1"/>
  <c r="C245" i="1" s="1"/>
  <c r="D245" i="1" a="1"/>
  <c r="D245" i="1" s="1"/>
  <c r="E245" i="1" a="1"/>
  <c r="E245" i="1" s="1"/>
  <c r="F245" i="1"/>
  <c r="G245" i="1"/>
  <c r="H245" i="1"/>
  <c r="J245" i="1" s="1"/>
  <c r="A111" i="1" a="1"/>
  <c r="A111" i="1" s="1"/>
  <c r="B111" i="1"/>
  <c r="C111" i="1" a="1"/>
  <c r="C111" i="1" s="1"/>
  <c r="D111" i="1" a="1"/>
  <c r="D111" i="1" s="1"/>
  <c r="E111" i="1" a="1"/>
  <c r="E111" i="1" s="1"/>
  <c r="F111" i="1"/>
  <c r="G111" i="1"/>
  <c r="H111" i="1"/>
  <c r="A455" i="1" a="1"/>
  <c r="A455" i="1" s="1"/>
  <c r="B455" i="1"/>
  <c r="C455" i="1" a="1"/>
  <c r="C455" i="1" s="1"/>
  <c r="D455" i="1" a="1"/>
  <c r="D455" i="1" s="1"/>
  <c r="E455" i="1" a="1"/>
  <c r="E455" i="1" s="1"/>
  <c r="F455" i="1"/>
  <c r="G455" i="1"/>
  <c r="H455" i="1"/>
  <c r="J455" i="1" s="1"/>
  <c r="A44" i="1" a="1"/>
  <c r="A44" i="1" s="1"/>
  <c r="B44" i="1"/>
  <c r="C44" i="1" a="1"/>
  <c r="C44" i="1" s="1"/>
  <c r="D44" i="1" a="1"/>
  <c r="D44" i="1" s="1"/>
  <c r="E44" i="1" a="1"/>
  <c r="E44" i="1" s="1"/>
  <c r="F44" i="1"/>
  <c r="G44" i="1"/>
  <c r="H44" i="1"/>
  <c r="J44" i="1" s="1"/>
  <c r="A578" i="1" a="1"/>
  <c r="A578" i="1" s="1"/>
  <c r="B578" i="1"/>
  <c r="C578" i="1" a="1"/>
  <c r="C578" i="1" s="1"/>
  <c r="D578" i="1" a="1"/>
  <c r="D578" i="1" s="1"/>
  <c r="E578" i="1" a="1"/>
  <c r="E578" i="1" s="1"/>
  <c r="F578" i="1"/>
  <c r="G578" i="1"/>
  <c r="H578" i="1"/>
  <c r="J578" i="1" s="1"/>
  <c r="A246" i="1" a="1"/>
  <c r="A246" i="1" s="1"/>
  <c r="B246" i="1"/>
  <c r="C246" i="1" a="1"/>
  <c r="C246" i="1" s="1"/>
  <c r="D246" i="1" a="1"/>
  <c r="D246" i="1" s="1"/>
  <c r="E246" i="1" a="1"/>
  <c r="E246" i="1" s="1"/>
  <c r="F246" i="1"/>
  <c r="G246" i="1"/>
  <c r="H246" i="1"/>
  <c r="J246" i="1" s="1"/>
  <c r="A579" i="1" a="1"/>
  <c r="A579" i="1" s="1"/>
  <c r="B579" i="1"/>
  <c r="C579" i="1" a="1"/>
  <c r="C579" i="1" s="1"/>
  <c r="D579" i="1" a="1"/>
  <c r="D579" i="1" s="1"/>
  <c r="E579" i="1" a="1"/>
  <c r="E579" i="1" s="1"/>
  <c r="F579" i="1"/>
  <c r="G579" i="1"/>
  <c r="H579" i="1"/>
  <c r="J579" i="1" s="1"/>
  <c r="A580" i="1" a="1"/>
  <c r="A580" i="1" s="1"/>
  <c r="B580" i="1"/>
  <c r="C580" i="1" a="1"/>
  <c r="C580" i="1" s="1"/>
  <c r="D580" i="1" a="1"/>
  <c r="D580" i="1" s="1"/>
  <c r="E580" i="1" a="1"/>
  <c r="E580" i="1" s="1"/>
  <c r="F580" i="1"/>
  <c r="G580" i="1"/>
  <c r="H580" i="1"/>
  <c r="J580" i="1" s="1"/>
  <c r="A247" i="1" a="1"/>
  <c r="A247" i="1" s="1"/>
  <c r="B247" i="1"/>
  <c r="C247" i="1" a="1"/>
  <c r="C247" i="1" s="1"/>
  <c r="D247" i="1" a="1"/>
  <c r="D247" i="1" s="1"/>
  <c r="E247" i="1" a="1"/>
  <c r="E247" i="1" s="1"/>
  <c r="F247" i="1"/>
  <c r="G247" i="1"/>
  <c r="H247" i="1"/>
  <c r="J247" i="1" s="1"/>
  <c r="A177" i="1" a="1"/>
  <c r="A177" i="1" s="1"/>
  <c r="B177" i="1"/>
  <c r="C177" i="1" a="1"/>
  <c r="C177" i="1" s="1"/>
  <c r="D177" i="1" a="1"/>
  <c r="D177" i="1" s="1"/>
  <c r="E177" i="1" a="1"/>
  <c r="E177" i="1" s="1"/>
  <c r="F177" i="1"/>
  <c r="G177" i="1"/>
  <c r="H177" i="1"/>
  <c r="J177" i="1" s="1"/>
  <c r="A581" i="1" a="1"/>
  <c r="A581" i="1" s="1"/>
  <c r="B581" i="1"/>
  <c r="C581" i="1" a="1"/>
  <c r="C581" i="1" s="1"/>
  <c r="D581" i="1" a="1"/>
  <c r="D581" i="1" s="1"/>
  <c r="E581" i="1" a="1"/>
  <c r="E581" i="1" s="1"/>
  <c r="F581" i="1"/>
  <c r="G581" i="1"/>
  <c r="H581" i="1"/>
  <c r="J581" i="1" s="1"/>
  <c r="A634" i="1" a="1"/>
  <c r="A634" i="1" s="1"/>
  <c r="B634" i="1"/>
  <c r="C634" i="1" a="1"/>
  <c r="C634" i="1" s="1"/>
  <c r="D634" i="1" a="1"/>
  <c r="D634" i="1" s="1"/>
  <c r="E634" i="1" a="1"/>
  <c r="E634" i="1" s="1"/>
  <c r="F634" i="1"/>
  <c r="G634" i="1"/>
  <c r="H634" i="1"/>
  <c r="J634" i="1" s="1"/>
  <c r="A318" i="1" a="1"/>
  <c r="A318" i="1" s="1"/>
  <c r="B318" i="1"/>
  <c r="C318" i="1" a="1"/>
  <c r="C318" i="1" s="1"/>
  <c r="D318" i="1" a="1"/>
  <c r="D318" i="1" s="1"/>
  <c r="E318" i="1" a="1"/>
  <c r="E318" i="1" s="1"/>
  <c r="F318" i="1"/>
  <c r="G318" i="1"/>
  <c r="H318" i="1"/>
  <c r="J318" i="1" s="1"/>
  <c r="A582" i="1" a="1"/>
  <c r="A582" i="1" s="1"/>
  <c r="B582" i="1"/>
  <c r="C582" i="1" a="1"/>
  <c r="C582" i="1" s="1"/>
  <c r="D582" i="1" a="1"/>
  <c r="D582" i="1" s="1"/>
  <c r="E582" i="1" a="1"/>
  <c r="E582" i="1" s="1"/>
  <c r="F582" i="1"/>
  <c r="G582" i="1"/>
  <c r="H582" i="1"/>
  <c r="A524" i="1" a="1"/>
  <c r="A524" i="1" s="1"/>
  <c r="B524" i="1"/>
  <c r="C524" i="1" a="1"/>
  <c r="C524" i="1" s="1"/>
  <c r="D524" i="1" a="1"/>
  <c r="D524" i="1" s="1"/>
  <c r="E524" i="1" a="1"/>
  <c r="E524" i="1" s="1"/>
  <c r="F524" i="1"/>
  <c r="G524" i="1"/>
  <c r="H524" i="1"/>
  <c r="J524" i="1" s="1"/>
  <c r="A456" i="1" a="1"/>
  <c r="A456" i="1" s="1"/>
  <c r="B456" i="1"/>
  <c r="C456" i="1" a="1"/>
  <c r="C456" i="1" s="1"/>
  <c r="D456" i="1" a="1"/>
  <c r="D456" i="1" s="1"/>
  <c r="E456" i="1" a="1"/>
  <c r="E456" i="1" s="1"/>
  <c r="F456" i="1"/>
  <c r="G456" i="1"/>
  <c r="H456" i="1"/>
  <c r="J456" i="1" s="1"/>
  <c r="A525" i="1" a="1"/>
  <c r="A525" i="1" s="1"/>
  <c r="B525" i="1"/>
  <c r="C525" i="1" a="1"/>
  <c r="C525" i="1" s="1"/>
  <c r="D525" i="1" a="1"/>
  <c r="D525" i="1" s="1"/>
  <c r="E525" i="1" a="1"/>
  <c r="E525" i="1" s="1"/>
  <c r="F525" i="1"/>
  <c r="G525" i="1"/>
  <c r="H525" i="1"/>
  <c r="J525" i="1" s="1"/>
  <c r="A583" i="1" a="1"/>
  <c r="A583" i="1" s="1"/>
  <c r="B583" i="1"/>
  <c r="C583" i="1" a="1"/>
  <c r="C583" i="1" s="1"/>
  <c r="D583" i="1" a="1"/>
  <c r="D583" i="1" s="1"/>
  <c r="E583" i="1" a="1"/>
  <c r="E583" i="1" s="1"/>
  <c r="F583" i="1"/>
  <c r="G583" i="1"/>
  <c r="H583" i="1"/>
  <c r="J583" i="1" s="1"/>
  <c r="A45" i="1" a="1"/>
  <c r="A45" i="1" s="1"/>
  <c r="B45" i="1"/>
  <c r="C45" i="1" a="1"/>
  <c r="C45" i="1" s="1"/>
  <c r="D45" i="1" a="1"/>
  <c r="D45" i="1" s="1"/>
  <c r="E45" i="1" a="1"/>
  <c r="E45" i="1" s="1"/>
  <c r="F45" i="1"/>
  <c r="G45" i="1"/>
  <c r="H45" i="1"/>
  <c r="J45" i="1" s="1"/>
  <c r="A319" i="1" a="1"/>
  <c r="A319" i="1" s="1"/>
  <c r="B319" i="1"/>
  <c r="C319" i="1" a="1"/>
  <c r="C319" i="1" s="1"/>
  <c r="D319" i="1" a="1"/>
  <c r="D319" i="1" s="1"/>
  <c r="E319" i="1" a="1"/>
  <c r="E319" i="1" s="1"/>
  <c r="F319" i="1"/>
  <c r="G319" i="1"/>
  <c r="H319" i="1"/>
  <c r="J319" i="1" s="1"/>
  <c r="A248" i="1" a="1"/>
  <c r="A248" i="1" s="1"/>
  <c r="B248" i="1"/>
  <c r="C248" i="1" a="1"/>
  <c r="C248" i="1" s="1"/>
  <c r="D248" i="1" a="1"/>
  <c r="D248" i="1" s="1"/>
  <c r="E248" i="1" a="1"/>
  <c r="E248" i="1" s="1"/>
  <c r="F248" i="1"/>
  <c r="G248" i="1"/>
  <c r="H248" i="1"/>
  <c r="A635" i="1" a="1"/>
  <c r="A635" i="1" s="1"/>
  <c r="B635" i="1"/>
  <c r="C635" i="1" a="1"/>
  <c r="C635" i="1" s="1"/>
  <c r="D635" i="1" a="1"/>
  <c r="D635" i="1" s="1"/>
  <c r="E635" i="1" a="1"/>
  <c r="E635" i="1" s="1"/>
  <c r="F635" i="1"/>
  <c r="G635" i="1"/>
  <c r="H635" i="1"/>
  <c r="J635" i="1" s="1"/>
  <c r="A457" i="1" a="1"/>
  <c r="A457" i="1" s="1"/>
  <c r="B457" i="1"/>
  <c r="C457" i="1" a="1"/>
  <c r="C457" i="1" s="1"/>
  <c r="D457" i="1" a="1"/>
  <c r="D457" i="1" s="1"/>
  <c r="E457" i="1" a="1"/>
  <c r="E457" i="1" s="1"/>
  <c r="F457" i="1"/>
  <c r="G457" i="1"/>
  <c r="H457" i="1"/>
  <c r="J457" i="1" s="1"/>
  <c r="A249" i="1" a="1"/>
  <c r="A249" i="1" s="1"/>
  <c r="B249" i="1"/>
  <c r="C249" i="1" a="1"/>
  <c r="C249" i="1" s="1"/>
  <c r="D249" i="1" a="1"/>
  <c r="D249" i="1" s="1"/>
  <c r="E249" i="1" a="1"/>
  <c r="E249" i="1" s="1"/>
  <c r="F249" i="1"/>
  <c r="G249" i="1"/>
  <c r="H249" i="1"/>
  <c r="J249" i="1" s="1"/>
  <c r="A584" i="1" a="1"/>
  <c r="A584" i="1" s="1"/>
  <c r="B584" i="1"/>
  <c r="C584" i="1" a="1"/>
  <c r="C584" i="1" s="1"/>
  <c r="D584" i="1" a="1"/>
  <c r="D584" i="1" s="1"/>
  <c r="E584" i="1" a="1"/>
  <c r="E584" i="1" s="1"/>
  <c r="F584" i="1"/>
  <c r="G584" i="1"/>
  <c r="H584" i="1"/>
  <c r="J584" i="1" s="1"/>
  <c r="A46" i="1" a="1"/>
  <c r="A46" i="1" s="1"/>
  <c r="B46" i="1"/>
  <c r="C46" i="1" a="1"/>
  <c r="C46" i="1" s="1"/>
  <c r="D46" i="1" a="1"/>
  <c r="D46" i="1" s="1"/>
  <c r="E46" i="1" a="1"/>
  <c r="E46" i="1" s="1"/>
  <c r="F46" i="1"/>
  <c r="G46" i="1"/>
  <c r="H46" i="1"/>
  <c r="J46" i="1" s="1"/>
  <c r="A250" i="1" a="1"/>
  <c r="A250" i="1" s="1"/>
  <c r="B250" i="1"/>
  <c r="C250" i="1" a="1"/>
  <c r="C250" i="1" s="1"/>
  <c r="D250" i="1" a="1"/>
  <c r="D250" i="1" s="1"/>
  <c r="E250" i="1" a="1"/>
  <c r="E250" i="1" s="1"/>
  <c r="F250" i="1"/>
  <c r="G250" i="1"/>
  <c r="H250" i="1"/>
  <c r="J250" i="1" s="1"/>
  <c r="A112" i="1" a="1"/>
  <c r="A112" i="1" s="1"/>
  <c r="B112" i="1"/>
  <c r="C112" i="1" a="1"/>
  <c r="C112" i="1" s="1"/>
  <c r="D112" i="1" a="1"/>
  <c r="D112" i="1" s="1"/>
  <c r="E112" i="1" a="1"/>
  <c r="E112" i="1" s="1"/>
  <c r="F112" i="1"/>
  <c r="G112" i="1"/>
  <c r="H112" i="1"/>
  <c r="J112" i="1" s="1"/>
  <c r="A178" i="1" a="1"/>
  <c r="A178" i="1" s="1"/>
  <c r="B178" i="1"/>
  <c r="C178" i="1" a="1"/>
  <c r="C178" i="1" s="1"/>
  <c r="D178" i="1" a="1"/>
  <c r="D178" i="1" s="1"/>
  <c r="E178" i="1" a="1"/>
  <c r="E178" i="1" s="1"/>
  <c r="F178" i="1"/>
  <c r="G178" i="1"/>
  <c r="H178" i="1"/>
  <c r="J178" i="1" s="1"/>
  <c r="A320" i="1" a="1"/>
  <c r="A320" i="1"/>
  <c r="B320" i="1"/>
  <c r="C320" i="1" a="1"/>
  <c r="C320" i="1" s="1"/>
  <c r="D320" i="1" a="1"/>
  <c r="D320" i="1" s="1"/>
  <c r="E320" i="1" a="1"/>
  <c r="E320" i="1" s="1"/>
  <c r="F320" i="1"/>
  <c r="G320" i="1"/>
  <c r="H320" i="1"/>
  <c r="A458" i="1" a="1"/>
  <c r="A458" i="1" s="1"/>
  <c r="B458" i="1"/>
  <c r="C458" i="1" a="1"/>
  <c r="C458" i="1" s="1"/>
  <c r="D458" i="1" a="1"/>
  <c r="D458" i="1" s="1"/>
  <c r="E458" i="1" a="1"/>
  <c r="E458" i="1" s="1"/>
  <c r="F458" i="1"/>
  <c r="G458" i="1"/>
  <c r="H458" i="1"/>
  <c r="J458" i="1" s="1"/>
  <c r="A636" i="1" a="1"/>
  <c r="A636" i="1" s="1"/>
  <c r="B636" i="1"/>
  <c r="C636" i="1" a="1"/>
  <c r="C636" i="1" s="1"/>
  <c r="D636" i="1" a="1"/>
  <c r="D636" i="1" s="1"/>
  <c r="E636" i="1" a="1"/>
  <c r="E636" i="1" s="1"/>
  <c r="F636" i="1"/>
  <c r="G636" i="1"/>
  <c r="H636" i="1"/>
  <c r="J636" i="1" s="1"/>
  <c r="A526" i="1" a="1"/>
  <c r="A526" i="1" s="1"/>
  <c r="B526" i="1"/>
  <c r="C526" i="1" a="1"/>
  <c r="C526" i="1" s="1"/>
  <c r="D526" i="1" a="1"/>
  <c r="D526" i="1" s="1"/>
  <c r="E526" i="1" a="1"/>
  <c r="E526" i="1" s="1"/>
  <c r="F526" i="1"/>
  <c r="G526" i="1"/>
  <c r="H526" i="1"/>
  <c r="J526" i="1" s="1"/>
  <c r="A321" i="1" a="1"/>
  <c r="A321" i="1" s="1"/>
  <c r="B321" i="1"/>
  <c r="C321" i="1" a="1"/>
  <c r="C321" i="1" s="1"/>
  <c r="D321" i="1" a="1"/>
  <c r="D321" i="1" s="1"/>
  <c r="E321" i="1" a="1"/>
  <c r="E321" i="1" s="1"/>
  <c r="F321" i="1"/>
  <c r="G321" i="1"/>
  <c r="H321" i="1"/>
  <c r="A459" i="1" a="1"/>
  <c r="A459" i="1" s="1"/>
  <c r="B459" i="1"/>
  <c r="C459" i="1" a="1"/>
  <c r="C459" i="1" s="1"/>
  <c r="D459" i="1" a="1"/>
  <c r="D459" i="1" s="1"/>
  <c r="E459" i="1" a="1"/>
  <c r="E459" i="1" s="1"/>
  <c r="F459" i="1"/>
  <c r="G459" i="1"/>
  <c r="H459" i="1"/>
  <c r="A527" i="1" a="1"/>
  <c r="A527" i="1" s="1"/>
  <c r="B527" i="1"/>
  <c r="C527" i="1" a="1"/>
  <c r="C527" i="1" s="1"/>
  <c r="D527" i="1" a="1"/>
  <c r="D527" i="1" s="1"/>
  <c r="E527" i="1" a="1"/>
  <c r="E527" i="1" s="1"/>
  <c r="F527" i="1"/>
  <c r="G527" i="1"/>
  <c r="H527" i="1"/>
  <c r="J527" i="1" s="1"/>
  <c r="A322" i="1" a="1"/>
  <c r="A322" i="1" s="1"/>
  <c r="B322" i="1"/>
  <c r="C322" i="1" a="1"/>
  <c r="C322" i="1" s="1"/>
  <c r="D322" i="1" a="1"/>
  <c r="D322" i="1" s="1"/>
  <c r="E322" i="1" a="1"/>
  <c r="E322" i="1" s="1"/>
  <c r="F322" i="1"/>
  <c r="G322" i="1"/>
  <c r="H322" i="1"/>
  <c r="J322" i="1" s="1"/>
  <c r="A637" i="1" a="1"/>
  <c r="A637" i="1" s="1"/>
  <c r="B637" i="1"/>
  <c r="C637" i="1" a="1"/>
  <c r="C637" i="1" s="1"/>
  <c r="D637" i="1" a="1"/>
  <c r="D637" i="1" s="1"/>
  <c r="E637" i="1" a="1"/>
  <c r="E637" i="1" s="1"/>
  <c r="F637" i="1"/>
  <c r="G637" i="1"/>
  <c r="H637" i="1"/>
  <c r="J637" i="1" s="1"/>
  <c r="A179" i="1" a="1"/>
  <c r="A179" i="1" s="1"/>
  <c r="B179" i="1"/>
  <c r="C179" i="1" a="1"/>
  <c r="C179" i="1" s="1"/>
  <c r="D179" i="1" a="1"/>
  <c r="D179" i="1" s="1"/>
  <c r="E179" i="1" a="1"/>
  <c r="E179" i="1" s="1"/>
  <c r="F179" i="1"/>
  <c r="G179" i="1"/>
  <c r="H179" i="1"/>
  <c r="A113" i="1" a="1"/>
  <c r="A113" i="1" s="1"/>
  <c r="B113" i="1"/>
  <c r="C113" i="1" a="1"/>
  <c r="C113" i="1" s="1"/>
  <c r="D113" i="1" a="1"/>
  <c r="D113" i="1" s="1"/>
  <c r="E113" i="1" a="1"/>
  <c r="E113" i="1" s="1"/>
  <c r="F113" i="1"/>
  <c r="G113" i="1"/>
  <c r="H113" i="1"/>
  <c r="A323" i="1" a="1"/>
  <c r="A323" i="1" s="1"/>
  <c r="B323" i="1"/>
  <c r="C323" i="1" a="1"/>
  <c r="C323" i="1" s="1"/>
  <c r="D323" i="1" a="1"/>
  <c r="D323" i="1" s="1"/>
  <c r="E323" i="1" a="1"/>
  <c r="E323" i="1" s="1"/>
  <c r="F323" i="1"/>
  <c r="G323" i="1"/>
  <c r="H323" i="1"/>
  <c r="A324" i="1" a="1"/>
  <c r="A324" i="1" s="1"/>
  <c r="B324" i="1"/>
  <c r="C324" i="1" a="1"/>
  <c r="C324" i="1" s="1"/>
  <c r="D324" i="1" a="1"/>
  <c r="D324" i="1" s="1"/>
  <c r="E324" i="1" a="1"/>
  <c r="E324" i="1" s="1"/>
  <c r="F324" i="1"/>
  <c r="G324" i="1"/>
  <c r="H324" i="1"/>
  <c r="J324" i="1" s="1"/>
  <c r="A387" i="1" a="1"/>
  <c r="A387" i="1" s="1"/>
  <c r="B387" i="1"/>
  <c r="C387" i="1" a="1"/>
  <c r="C387" i="1" s="1"/>
  <c r="D387" i="1" a="1"/>
  <c r="D387" i="1" s="1"/>
  <c r="E387" i="1" a="1"/>
  <c r="E387" i="1" s="1"/>
  <c r="F387" i="1"/>
  <c r="G387" i="1"/>
  <c r="H387" i="1"/>
  <c r="J387" i="1" s="1"/>
  <c r="A638" i="1" a="1"/>
  <c r="A638" i="1" s="1"/>
  <c r="B638" i="1"/>
  <c r="C638" i="1" a="1"/>
  <c r="C638" i="1" s="1"/>
  <c r="D638" i="1" a="1"/>
  <c r="D638" i="1" s="1"/>
  <c r="E638" i="1" a="1"/>
  <c r="E638" i="1" s="1"/>
  <c r="F638" i="1"/>
  <c r="G638" i="1"/>
  <c r="H638" i="1"/>
  <c r="J638" i="1" s="1"/>
  <c r="A528" i="1" a="1"/>
  <c r="A528" i="1" s="1"/>
  <c r="B528" i="1"/>
  <c r="C528" i="1" a="1"/>
  <c r="C528" i="1" s="1"/>
  <c r="D528" i="1" a="1"/>
  <c r="D528" i="1" s="1"/>
  <c r="E528" i="1" a="1"/>
  <c r="E528" i="1" s="1"/>
  <c r="F528" i="1"/>
  <c r="G528" i="1"/>
  <c r="H528" i="1"/>
  <c r="J528" i="1" s="1"/>
  <c r="A114" i="1" a="1"/>
  <c r="A114" i="1" s="1"/>
  <c r="B114" i="1"/>
  <c r="C114" i="1" a="1"/>
  <c r="C114" i="1" s="1"/>
  <c r="D114" i="1" a="1"/>
  <c r="D114" i="1" s="1"/>
  <c r="E114" i="1" a="1"/>
  <c r="E114" i="1" s="1"/>
  <c r="F114" i="1"/>
  <c r="G114" i="1"/>
  <c r="H114" i="1"/>
  <c r="J114" i="1" s="1"/>
  <c r="A460" i="1" a="1"/>
  <c r="A460" i="1" s="1"/>
  <c r="B460" i="1"/>
  <c r="C460" i="1" a="1"/>
  <c r="C460" i="1" s="1"/>
  <c r="D460" i="1" a="1"/>
  <c r="D460" i="1" s="1"/>
  <c r="E460" i="1" a="1"/>
  <c r="E460" i="1" s="1"/>
  <c r="F460" i="1"/>
  <c r="G460" i="1"/>
  <c r="H460" i="1"/>
  <c r="A180" i="1" a="1"/>
  <c r="A180" i="1" s="1"/>
  <c r="B180" i="1"/>
  <c r="C180" i="1" a="1"/>
  <c r="C180" i="1" s="1"/>
  <c r="D180" i="1" a="1"/>
  <c r="D180" i="1" s="1"/>
  <c r="E180" i="1" a="1"/>
  <c r="E180" i="1" s="1"/>
  <c r="F180" i="1"/>
  <c r="G180" i="1"/>
  <c r="H180" i="1"/>
  <c r="J180" i="1" s="1"/>
  <c r="A115" i="1" a="1"/>
  <c r="A115" i="1" s="1"/>
  <c r="B115" i="1"/>
  <c r="C115" i="1" a="1"/>
  <c r="C115" i="1" s="1"/>
  <c r="D115" i="1" a="1"/>
  <c r="D115" i="1" s="1"/>
  <c r="E115" i="1" a="1"/>
  <c r="E115" i="1" s="1"/>
  <c r="F115" i="1"/>
  <c r="G115" i="1"/>
  <c r="H115" i="1"/>
  <c r="J115" i="1" s="1"/>
  <c r="A461" i="1" a="1"/>
  <c r="A461" i="1" s="1"/>
  <c r="B461" i="1"/>
  <c r="C461" i="1" a="1"/>
  <c r="C461" i="1" s="1"/>
  <c r="D461" i="1" a="1"/>
  <c r="D461" i="1" s="1"/>
  <c r="E461" i="1" a="1"/>
  <c r="E461" i="1" s="1"/>
  <c r="F461" i="1"/>
  <c r="G461" i="1"/>
  <c r="H461" i="1"/>
  <c r="A47" i="1" a="1"/>
  <c r="A47" i="1" s="1"/>
  <c r="B47" i="1"/>
  <c r="C47" i="1" a="1"/>
  <c r="C47" i="1" s="1"/>
  <c r="D47" i="1" a="1"/>
  <c r="D47" i="1" s="1"/>
  <c r="E47" i="1" a="1"/>
  <c r="E47" i="1" s="1"/>
  <c r="F47" i="1"/>
  <c r="G47" i="1"/>
  <c r="H47" i="1"/>
  <c r="J47" i="1" s="1"/>
  <c r="A251" i="1" a="1"/>
  <c r="A251" i="1" s="1"/>
  <c r="B251" i="1"/>
  <c r="C251" i="1" a="1"/>
  <c r="C251" i="1" s="1"/>
  <c r="D251" i="1" a="1"/>
  <c r="D251" i="1" s="1"/>
  <c r="E251" i="1" a="1"/>
  <c r="E251" i="1" s="1"/>
  <c r="F251" i="1"/>
  <c r="G251" i="1"/>
  <c r="H251" i="1"/>
  <c r="J251" i="1" s="1"/>
  <c r="A585" i="1" a="1"/>
  <c r="A585" i="1" s="1"/>
  <c r="B585" i="1"/>
  <c r="C585" i="1" a="1"/>
  <c r="C585" i="1" s="1"/>
  <c r="D585" i="1" a="1"/>
  <c r="D585" i="1" s="1"/>
  <c r="E585" i="1" a="1"/>
  <c r="E585" i="1" s="1"/>
  <c r="F585" i="1"/>
  <c r="G585" i="1"/>
  <c r="H585" i="1"/>
  <c r="J585" i="1" s="1"/>
  <c r="A116" i="1" a="1"/>
  <c r="A116" i="1" s="1"/>
  <c r="B116" i="1"/>
  <c r="C116" i="1" a="1"/>
  <c r="C116" i="1" s="1"/>
  <c r="D116" i="1" a="1"/>
  <c r="D116" i="1" s="1"/>
  <c r="E116" i="1" a="1"/>
  <c r="E116" i="1" s="1"/>
  <c r="F116" i="1"/>
  <c r="G116" i="1"/>
  <c r="H116" i="1"/>
  <c r="J116" i="1" s="1"/>
  <c r="A462" i="1" a="1"/>
  <c r="A462" i="1" s="1"/>
  <c r="B462" i="1"/>
  <c r="C462" i="1" a="1"/>
  <c r="C462" i="1" s="1"/>
  <c r="D462" i="1" a="1"/>
  <c r="D462" i="1" s="1"/>
  <c r="E462" i="1" a="1"/>
  <c r="E462" i="1" s="1"/>
  <c r="F462" i="1"/>
  <c r="G462" i="1"/>
  <c r="H462" i="1"/>
  <c r="J462" i="1" s="1"/>
  <c r="A639" i="1" a="1"/>
  <c r="A639" i="1" s="1"/>
  <c r="B639" i="1"/>
  <c r="C639" i="1" a="1"/>
  <c r="C639" i="1" s="1"/>
  <c r="D639" i="1" a="1"/>
  <c r="D639" i="1" s="1"/>
  <c r="E639" i="1" a="1"/>
  <c r="E639" i="1" s="1"/>
  <c r="F639" i="1"/>
  <c r="G639" i="1"/>
  <c r="H639" i="1"/>
  <c r="A48" i="1" a="1"/>
  <c r="A48" i="1" s="1"/>
  <c r="B48" i="1"/>
  <c r="C48" i="1" a="1"/>
  <c r="C48" i="1" s="1"/>
  <c r="D48" i="1" a="1"/>
  <c r="D48" i="1" s="1"/>
  <c r="E48" i="1" a="1"/>
  <c r="E48" i="1" s="1"/>
  <c r="F48" i="1"/>
  <c r="G48" i="1"/>
  <c r="H48" i="1"/>
  <c r="J48" i="1" s="1"/>
  <c r="A586" i="1" a="1"/>
  <c r="A586" i="1" s="1"/>
  <c r="B586" i="1"/>
  <c r="C586" i="1" a="1"/>
  <c r="C586" i="1" s="1"/>
  <c r="D586" i="1" a="1"/>
  <c r="D586" i="1" s="1"/>
  <c r="E586" i="1" a="1"/>
  <c r="E586" i="1" s="1"/>
  <c r="F586" i="1"/>
  <c r="G586" i="1"/>
  <c r="H586" i="1"/>
  <c r="J586" i="1" s="1"/>
  <c r="A640" i="1" a="1"/>
  <c r="A640" i="1" s="1"/>
  <c r="B640" i="1"/>
  <c r="C640" i="1" a="1"/>
  <c r="C640" i="1" s="1"/>
  <c r="D640" i="1" a="1"/>
  <c r="D640" i="1" s="1"/>
  <c r="E640" i="1" a="1"/>
  <c r="E640" i="1" s="1"/>
  <c r="F640" i="1"/>
  <c r="G640" i="1"/>
  <c r="H640" i="1"/>
  <c r="J640" i="1" s="1"/>
  <c r="A181" i="1" a="1"/>
  <c r="A181" i="1" s="1"/>
  <c r="B181" i="1"/>
  <c r="C181" i="1" a="1"/>
  <c r="C181" i="1" s="1"/>
  <c r="D181" i="1" a="1"/>
  <c r="D181" i="1" s="1"/>
  <c r="E181" i="1" a="1"/>
  <c r="E181" i="1" s="1"/>
  <c r="F181" i="1"/>
  <c r="G181" i="1"/>
  <c r="H181" i="1"/>
  <c r="J181" i="1" s="1"/>
  <c r="A252" i="1" a="1"/>
  <c r="A252" i="1" s="1"/>
  <c r="B252" i="1"/>
  <c r="C252" i="1" a="1"/>
  <c r="C252" i="1" s="1"/>
  <c r="D252" i="1" a="1"/>
  <c r="D252" i="1" s="1"/>
  <c r="E252" i="1" a="1"/>
  <c r="E252" i="1" s="1"/>
  <c r="F252" i="1"/>
  <c r="G252" i="1"/>
  <c r="H252" i="1"/>
  <c r="J252" i="1" s="1"/>
  <c r="A117" i="1" a="1"/>
  <c r="A117" i="1" s="1"/>
  <c r="B117" i="1"/>
  <c r="C117" i="1" a="1"/>
  <c r="C117" i="1" s="1"/>
  <c r="D117" i="1" a="1"/>
  <c r="D117" i="1" s="1"/>
  <c r="E117" i="1" a="1"/>
  <c r="E117" i="1" s="1"/>
  <c r="F117" i="1"/>
  <c r="G117" i="1"/>
  <c r="H117" i="1"/>
  <c r="J117" i="1" s="1"/>
  <c r="A253" i="1" a="1"/>
  <c r="A253" i="1" s="1"/>
  <c r="B253" i="1"/>
  <c r="C253" i="1" a="1"/>
  <c r="C253" i="1" s="1"/>
  <c r="D253" i="1" a="1"/>
  <c r="D253" i="1" s="1"/>
  <c r="E253" i="1" a="1"/>
  <c r="E253" i="1" s="1"/>
  <c r="F253" i="1"/>
  <c r="G253" i="1"/>
  <c r="H253" i="1"/>
  <c r="J253" i="1" s="1"/>
  <c r="A325" i="1" a="1"/>
  <c r="A325" i="1" s="1"/>
  <c r="B325" i="1"/>
  <c r="C325" i="1" a="1"/>
  <c r="C325" i="1" s="1"/>
  <c r="D325" i="1" a="1"/>
  <c r="D325" i="1" s="1"/>
  <c r="E325" i="1" a="1"/>
  <c r="E325" i="1" s="1"/>
  <c r="F325" i="1"/>
  <c r="G325" i="1"/>
  <c r="H325" i="1"/>
  <c r="J325" i="1" s="1"/>
  <c r="A118" i="1" a="1"/>
  <c r="A118" i="1" s="1"/>
  <c r="B118" i="1"/>
  <c r="C118" i="1" a="1"/>
  <c r="C118" i="1" s="1"/>
  <c r="D118" i="1" a="1"/>
  <c r="D118" i="1" s="1"/>
  <c r="E118" i="1" a="1"/>
  <c r="E118" i="1" s="1"/>
  <c r="F118" i="1"/>
  <c r="G118" i="1"/>
  <c r="H118" i="1"/>
  <c r="J118" i="1" s="1"/>
  <c r="A326" i="1" a="1"/>
  <c r="A326" i="1" s="1"/>
  <c r="B326" i="1"/>
  <c r="C326" i="1" a="1"/>
  <c r="C326" i="1" s="1"/>
  <c r="D326" i="1" a="1"/>
  <c r="D326" i="1" s="1"/>
  <c r="E326" i="1" a="1"/>
  <c r="E326" i="1" s="1"/>
  <c r="F326" i="1"/>
  <c r="G326" i="1"/>
  <c r="H326" i="1"/>
  <c r="J326" i="1" s="1"/>
  <c r="A254" i="1" a="1"/>
  <c r="A254" i="1" s="1"/>
  <c r="B254" i="1"/>
  <c r="C254" i="1" a="1"/>
  <c r="C254" i="1" s="1"/>
  <c r="D254" i="1" a="1"/>
  <c r="D254" i="1" s="1"/>
  <c r="E254" i="1" a="1"/>
  <c r="E254" i="1" s="1"/>
  <c r="F254" i="1"/>
  <c r="G254" i="1"/>
  <c r="H254" i="1"/>
  <c r="J254" i="1" s="1"/>
  <c r="A182" i="1" a="1"/>
  <c r="A182" i="1" s="1"/>
  <c r="B182" i="1"/>
  <c r="C182" i="1" a="1"/>
  <c r="C182" i="1" s="1"/>
  <c r="D182" i="1" a="1"/>
  <c r="D182" i="1" s="1"/>
  <c r="E182" i="1" a="1"/>
  <c r="E182" i="1" s="1"/>
  <c r="F182" i="1"/>
  <c r="G182" i="1"/>
  <c r="H182" i="1"/>
  <c r="J182" i="1" s="1"/>
  <c r="A641" i="1" a="1"/>
  <c r="A641" i="1" s="1"/>
  <c r="B641" i="1"/>
  <c r="C641" i="1" a="1"/>
  <c r="C641" i="1" s="1"/>
  <c r="D641" i="1" a="1"/>
  <c r="D641" i="1" s="1"/>
  <c r="E641" i="1" a="1"/>
  <c r="E641" i="1" s="1"/>
  <c r="F641" i="1"/>
  <c r="G641" i="1"/>
  <c r="H641" i="1"/>
  <c r="J641" i="1" s="1"/>
  <c r="A183" i="1" a="1"/>
  <c r="A183" i="1" s="1"/>
  <c r="B183" i="1"/>
  <c r="C183" i="1" a="1"/>
  <c r="C183" i="1" s="1"/>
  <c r="D183" i="1" a="1"/>
  <c r="D183" i="1" s="1"/>
  <c r="E183" i="1" a="1"/>
  <c r="E183" i="1" s="1"/>
  <c r="F183" i="1"/>
  <c r="G183" i="1"/>
  <c r="H183" i="1"/>
  <c r="J183" i="1" s="1"/>
  <c r="A463" i="1" a="1"/>
  <c r="A463" i="1" s="1"/>
  <c r="B463" i="1"/>
  <c r="C463" i="1" a="1"/>
  <c r="C463" i="1" s="1"/>
  <c r="D463" i="1" a="1"/>
  <c r="D463" i="1" s="1"/>
  <c r="E463" i="1" a="1"/>
  <c r="E463" i="1" s="1"/>
  <c r="F463" i="1"/>
  <c r="G463" i="1"/>
  <c r="H463" i="1"/>
  <c r="J463" i="1" s="1"/>
  <c r="A255" i="1" a="1"/>
  <c r="A255" i="1" s="1"/>
  <c r="B255" i="1"/>
  <c r="C255" i="1" a="1"/>
  <c r="C255" i="1" s="1"/>
  <c r="D255" i="1" a="1"/>
  <c r="D255" i="1" s="1"/>
  <c r="E255" i="1" a="1"/>
  <c r="E255" i="1" s="1"/>
  <c r="F255" i="1"/>
  <c r="G255" i="1"/>
  <c r="H255" i="1"/>
  <c r="J255" i="1" s="1"/>
  <c r="A184" i="1" a="1"/>
  <c r="A184" i="1" s="1"/>
  <c r="B184" i="1"/>
  <c r="C184" i="1" a="1"/>
  <c r="C184" i="1" s="1"/>
  <c r="D184" i="1" a="1"/>
  <c r="D184" i="1" s="1"/>
  <c r="E184" i="1" a="1"/>
  <c r="E184" i="1" s="1"/>
  <c r="F184" i="1"/>
  <c r="G184" i="1"/>
  <c r="H184" i="1"/>
  <c r="J184" i="1" s="1"/>
  <c r="A464" i="1" a="1"/>
  <c r="A464" i="1" s="1"/>
  <c r="B464" i="1"/>
  <c r="C464" i="1" a="1"/>
  <c r="C464" i="1" s="1"/>
  <c r="D464" i="1" a="1"/>
  <c r="D464" i="1" s="1"/>
  <c r="E464" i="1" a="1"/>
  <c r="E464" i="1" s="1"/>
  <c r="F464" i="1"/>
  <c r="G464" i="1"/>
  <c r="H464" i="1"/>
  <c r="J464" i="1" s="1"/>
  <c r="A388" i="1" a="1"/>
  <c r="A388" i="1" s="1"/>
  <c r="B388" i="1"/>
  <c r="C388" i="1" a="1"/>
  <c r="C388" i="1" s="1"/>
  <c r="D388" i="1" a="1"/>
  <c r="D388" i="1" s="1"/>
  <c r="E388" i="1" a="1"/>
  <c r="E388" i="1" s="1"/>
  <c r="F388" i="1"/>
  <c r="G388" i="1"/>
  <c r="H388" i="1"/>
  <c r="J388" i="1" s="1"/>
  <c r="A465" i="1" a="1"/>
  <c r="A465" i="1" s="1"/>
  <c r="B465" i="1"/>
  <c r="C465" i="1" a="1"/>
  <c r="C465" i="1" s="1"/>
  <c r="D465" i="1" a="1"/>
  <c r="D465" i="1" s="1"/>
  <c r="E465" i="1" a="1"/>
  <c r="E465" i="1" s="1"/>
  <c r="F465" i="1"/>
  <c r="G465" i="1"/>
  <c r="H465" i="1"/>
  <c r="A119" i="1" a="1"/>
  <c r="A119" i="1" s="1"/>
  <c r="B119" i="1"/>
  <c r="C119" i="1" a="1"/>
  <c r="C119" i="1" s="1"/>
  <c r="D119" i="1" a="1"/>
  <c r="D119" i="1" s="1"/>
  <c r="E119" i="1" a="1"/>
  <c r="E119" i="1" s="1"/>
  <c r="F119" i="1"/>
  <c r="G119" i="1"/>
  <c r="H119" i="1"/>
  <c r="A256" i="1" a="1"/>
  <c r="A256" i="1" s="1"/>
  <c r="B256" i="1"/>
  <c r="C256" i="1" a="1"/>
  <c r="C256" i="1" s="1"/>
  <c r="D256" i="1" a="1"/>
  <c r="D256" i="1" s="1"/>
  <c r="E256" i="1" a="1"/>
  <c r="E256" i="1" s="1"/>
  <c r="F256" i="1"/>
  <c r="G256" i="1"/>
  <c r="H256" i="1"/>
  <c r="A327" i="1" a="1"/>
  <c r="A327" i="1" s="1"/>
  <c r="B327" i="1"/>
  <c r="C327" i="1" a="1"/>
  <c r="C327" i="1" s="1"/>
  <c r="D327" i="1" a="1"/>
  <c r="D327" i="1" s="1"/>
  <c r="E327" i="1" a="1"/>
  <c r="E327" i="1" s="1"/>
  <c r="F327" i="1"/>
  <c r="G327" i="1"/>
  <c r="H327" i="1"/>
  <c r="A185" i="1" a="1"/>
  <c r="A185" i="1" s="1"/>
  <c r="B185" i="1"/>
  <c r="C185" i="1" a="1"/>
  <c r="C185" i="1" s="1"/>
  <c r="D185" i="1" a="1"/>
  <c r="D185" i="1" s="1"/>
  <c r="E185" i="1" a="1"/>
  <c r="E185" i="1" s="1"/>
  <c r="F185" i="1"/>
  <c r="G185" i="1"/>
  <c r="H185" i="1"/>
  <c r="J185" i="1" s="1"/>
  <c r="A642" i="1" a="1"/>
  <c r="A642" i="1" s="1"/>
  <c r="B642" i="1"/>
  <c r="C642" i="1" a="1"/>
  <c r="C642" i="1" s="1"/>
  <c r="D642" i="1" a="1"/>
  <c r="D642" i="1" s="1"/>
  <c r="E642" i="1" a="1"/>
  <c r="E642" i="1" s="1"/>
  <c r="F642" i="1"/>
  <c r="G642" i="1"/>
  <c r="H642" i="1"/>
  <c r="J642" i="1" s="1"/>
  <c r="A49" i="1" a="1"/>
  <c r="A49" i="1" s="1"/>
  <c r="B49" i="1"/>
  <c r="C49" i="1" a="1"/>
  <c r="C49" i="1" s="1"/>
  <c r="D49" i="1" a="1"/>
  <c r="D49" i="1" s="1"/>
  <c r="E49" i="1" a="1"/>
  <c r="E49" i="1" s="1"/>
  <c r="F49" i="1"/>
  <c r="G49" i="1"/>
  <c r="H49" i="1"/>
  <c r="J49" i="1" s="1"/>
  <c r="A257" i="1" a="1"/>
  <c r="A257" i="1" s="1"/>
  <c r="B257" i="1"/>
  <c r="C257" i="1" a="1"/>
  <c r="C257" i="1" s="1"/>
  <c r="D257" i="1" a="1"/>
  <c r="D257" i="1" s="1"/>
  <c r="E257" i="1" a="1"/>
  <c r="E257" i="1" s="1"/>
  <c r="F257" i="1"/>
  <c r="G257" i="1"/>
  <c r="H257" i="1"/>
  <c r="J257" i="1" s="1"/>
  <c r="A466" i="1" a="1"/>
  <c r="A466" i="1" s="1"/>
  <c r="B466" i="1"/>
  <c r="C466" i="1" a="1"/>
  <c r="C466" i="1" s="1"/>
  <c r="D466" i="1" a="1"/>
  <c r="D466" i="1" s="1"/>
  <c r="E466" i="1" a="1"/>
  <c r="E466" i="1" s="1"/>
  <c r="F466" i="1"/>
  <c r="G466" i="1"/>
  <c r="H466" i="1"/>
  <c r="J466" i="1" s="1"/>
  <c r="A643" i="1" a="1"/>
  <c r="A643" i="1" s="1"/>
  <c r="B643" i="1"/>
  <c r="C643" i="1" a="1"/>
  <c r="C643" i="1" s="1"/>
  <c r="D643" i="1" a="1"/>
  <c r="D643" i="1" s="1"/>
  <c r="E643" i="1" a="1"/>
  <c r="E643" i="1" s="1"/>
  <c r="F643" i="1"/>
  <c r="G643" i="1"/>
  <c r="H643" i="1"/>
  <c r="J643" i="1" s="1"/>
  <c r="A529" i="1" a="1"/>
  <c r="A529" i="1" s="1"/>
  <c r="B529" i="1"/>
  <c r="C529" i="1" a="1"/>
  <c r="C529" i="1" s="1"/>
  <c r="D529" i="1" a="1"/>
  <c r="D529" i="1" s="1"/>
  <c r="E529" i="1" a="1"/>
  <c r="E529" i="1" s="1"/>
  <c r="F529" i="1"/>
  <c r="G529" i="1"/>
  <c r="H529" i="1"/>
  <c r="J529" i="1" s="1"/>
  <c r="A328" i="1" a="1"/>
  <c r="A328" i="1" s="1"/>
  <c r="B328" i="1"/>
  <c r="C328" i="1" a="1"/>
  <c r="C328" i="1" s="1"/>
  <c r="D328" i="1" a="1"/>
  <c r="D328" i="1" s="1"/>
  <c r="E328" i="1" a="1"/>
  <c r="E328" i="1" s="1"/>
  <c r="F328" i="1"/>
  <c r="G328" i="1"/>
  <c r="H328" i="1"/>
  <c r="J328" i="1" s="1"/>
  <c r="A467" i="1" a="1"/>
  <c r="A467" i="1" s="1"/>
  <c r="B467" i="1"/>
  <c r="C467" i="1" a="1"/>
  <c r="C467" i="1" s="1"/>
  <c r="D467" i="1" a="1"/>
  <c r="D467" i="1" s="1"/>
  <c r="E467" i="1" a="1"/>
  <c r="E467" i="1" s="1"/>
  <c r="F467" i="1"/>
  <c r="G467" i="1"/>
  <c r="H467" i="1"/>
  <c r="J467" i="1" s="1"/>
  <c r="A186" i="1" a="1"/>
  <c r="A186" i="1" s="1"/>
  <c r="B186" i="1"/>
  <c r="C186" i="1" a="1"/>
  <c r="C186" i="1" s="1"/>
  <c r="D186" i="1" a="1"/>
  <c r="D186" i="1" s="1"/>
  <c r="E186" i="1" a="1"/>
  <c r="E186" i="1" s="1"/>
  <c r="F186" i="1"/>
  <c r="G186" i="1"/>
  <c r="H186" i="1"/>
  <c r="J186" i="1" s="1"/>
  <c r="A50" i="1" a="1"/>
  <c r="A50" i="1" s="1"/>
  <c r="B50" i="1"/>
  <c r="C50" i="1" a="1"/>
  <c r="C50" i="1" s="1"/>
  <c r="D50" i="1" a="1"/>
  <c r="D50" i="1" s="1"/>
  <c r="E50" i="1" a="1"/>
  <c r="E50" i="1" s="1"/>
  <c r="F50" i="1"/>
  <c r="G50" i="1"/>
  <c r="H50" i="1"/>
  <c r="J50" i="1" s="1"/>
  <c r="A51" i="1" a="1"/>
  <c r="A51" i="1" s="1"/>
  <c r="B51" i="1"/>
  <c r="C51" i="1" a="1"/>
  <c r="C51" i="1" s="1"/>
  <c r="D51" i="1" a="1"/>
  <c r="D51" i="1" s="1"/>
  <c r="E51" i="1" a="1"/>
  <c r="E51" i="1" s="1"/>
  <c r="F51" i="1"/>
  <c r="G51" i="1"/>
  <c r="H51" i="1"/>
  <c r="J51" i="1" s="1"/>
  <c r="A187" i="1" a="1"/>
  <c r="A187" i="1" s="1"/>
  <c r="B187" i="1"/>
  <c r="C187" i="1" a="1"/>
  <c r="C187" i="1" s="1"/>
  <c r="D187" i="1" a="1"/>
  <c r="D187" i="1" s="1"/>
  <c r="E187" i="1" a="1"/>
  <c r="E187" i="1" s="1"/>
  <c r="F187" i="1"/>
  <c r="G187" i="1"/>
  <c r="H187" i="1"/>
  <c r="A587" i="1" a="1"/>
  <c r="A587" i="1" s="1"/>
  <c r="B587" i="1"/>
  <c r="C587" i="1" a="1"/>
  <c r="C587" i="1" s="1"/>
  <c r="D587" i="1" a="1"/>
  <c r="D587" i="1" s="1"/>
  <c r="E587" i="1" a="1"/>
  <c r="E587" i="1" s="1"/>
  <c r="F587" i="1"/>
  <c r="G587" i="1"/>
  <c r="H587" i="1"/>
  <c r="J587" i="1" s="1"/>
  <c r="A329" i="1" a="1"/>
  <c r="A329" i="1" s="1"/>
  <c r="B329" i="1"/>
  <c r="C329" i="1" a="1"/>
  <c r="C329" i="1" s="1"/>
  <c r="D329" i="1" a="1"/>
  <c r="D329" i="1" s="1"/>
  <c r="E329" i="1" a="1"/>
  <c r="E329" i="1" s="1"/>
  <c r="F329" i="1"/>
  <c r="G329" i="1"/>
  <c r="H329" i="1"/>
  <c r="J329" i="1" s="1"/>
  <c r="A468" i="1" a="1"/>
  <c r="A468" i="1" s="1"/>
  <c r="B468" i="1"/>
  <c r="C468" i="1" a="1"/>
  <c r="C468" i="1" s="1"/>
  <c r="D468" i="1" a="1"/>
  <c r="D468" i="1" s="1"/>
  <c r="E468" i="1" a="1"/>
  <c r="E468" i="1" s="1"/>
  <c r="F468" i="1"/>
  <c r="G468" i="1"/>
  <c r="H468" i="1"/>
  <c r="J468" i="1" s="1"/>
  <c r="A530" i="1" a="1"/>
  <c r="A530" i="1" s="1"/>
  <c r="B530" i="1"/>
  <c r="C530" i="1" a="1"/>
  <c r="C530" i="1" s="1"/>
  <c r="D530" i="1" a="1"/>
  <c r="D530" i="1" s="1"/>
  <c r="E530" i="1" a="1"/>
  <c r="E530" i="1" s="1"/>
  <c r="F530" i="1"/>
  <c r="G530" i="1"/>
  <c r="H530" i="1"/>
  <c r="A531" i="1" a="1"/>
  <c r="A531" i="1" s="1"/>
  <c r="B531" i="1"/>
  <c r="C531" i="1" a="1"/>
  <c r="C531" i="1" s="1"/>
  <c r="D531" i="1" a="1"/>
  <c r="D531" i="1" s="1"/>
  <c r="E531" i="1" a="1"/>
  <c r="E531" i="1" s="1"/>
  <c r="F531" i="1"/>
  <c r="G531" i="1"/>
  <c r="H531" i="1"/>
  <c r="J531" i="1" s="1"/>
  <c r="A389" i="1" a="1"/>
  <c r="A389" i="1" s="1"/>
  <c r="B389" i="1"/>
  <c r="C389" i="1" a="1"/>
  <c r="C389" i="1" s="1"/>
  <c r="D389" i="1" a="1"/>
  <c r="D389" i="1" s="1"/>
  <c r="E389" i="1" a="1"/>
  <c r="E389" i="1" s="1"/>
  <c r="F389" i="1"/>
  <c r="G389" i="1"/>
  <c r="H389" i="1"/>
  <c r="J389" i="1" s="1"/>
  <c r="A390" i="1" a="1"/>
  <c r="A390" i="1" s="1"/>
  <c r="B390" i="1"/>
  <c r="C390" i="1" a="1"/>
  <c r="C390" i="1" s="1"/>
  <c r="D390" i="1" a="1"/>
  <c r="D390" i="1" s="1"/>
  <c r="E390" i="1" a="1"/>
  <c r="E390" i="1" s="1"/>
  <c r="F390" i="1"/>
  <c r="G390" i="1"/>
  <c r="H390" i="1"/>
  <c r="J390" i="1" s="1"/>
  <c r="A52" i="1" a="1"/>
  <c r="A52" i="1" s="1"/>
  <c r="B52" i="1"/>
  <c r="C52" i="1" a="1"/>
  <c r="C52" i="1" s="1"/>
  <c r="D52" i="1" a="1"/>
  <c r="D52" i="1" s="1"/>
  <c r="E52" i="1" a="1"/>
  <c r="E52" i="1" s="1"/>
  <c r="F52" i="1"/>
  <c r="G52" i="1"/>
  <c r="H52" i="1"/>
  <c r="J52" i="1" s="1"/>
  <c r="A330" i="1" a="1"/>
  <c r="A330" i="1" s="1"/>
  <c r="B330" i="1"/>
  <c r="C330" i="1" a="1"/>
  <c r="C330" i="1" s="1"/>
  <c r="D330" i="1" a="1"/>
  <c r="D330" i="1" s="1"/>
  <c r="E330" i="1" a="1"/>
  <c r="E330" i="1" s="1"/>
  <c r="F330" i="1"/>
  <c r="G330" i="1"/>
  <c r="H330" i="1"/>
  <c r="J330" i="1" s="1"/>
  <c r="A391" i="1" a="1"/>
  <c r="A391" i="1" s="1"/>
  <c r="B391" i="1"/>
  <c r="C391" i="1" a="1"/>
  <c r="C391" i="1" s="1"/>
  <c r="D391" i="1" a="1"/>
  <c r="D391" i="1" s="1"/>
  <c r="E391" i="1" a="1"/>
  <c r="E391" i="1" s="1"/>
  <c r="F391" i="1"/>
  <c r="G391" i="1"/>
  <c r="H391" i="1"/>
  <c r="J391" i="1" s="1"/>
  <c r="A331" i="1" a="1"/>
  <c r="A331" i="1" s="1"/>
  <c r="B331" i="1"/>
  <c r="C331" i="1" a="1"/>
  <c r="C331" i="1" s="1"/>
  <c r="D331" i="1" a="1"/>
  <c r="D331" i="1" s="1"/>
  <c r="E331" i="1" a="1"/>
  <c r="E331" i="1" s="1"/>
  <c r="F331" i="1"/>
  <c r="G331" i="1"/>
  <c r="H331" i="1"/>
  <c r="J331" i="1" s="1"/>
  <c r="A53" i="1" a="1"/>
  <c r="A53" i="1" s="1"/>
  <c r="B53" i="1"/>
  <c r="C53" i="1" a="1"/>
  <c r="C53" i="1" s="1"/>
  <c r="D53" i="1" a="1"/>
  <c r="D53" i="1" s="1"/>
  <c r="E53" i="1" a="1"/>
  <c r="E53" i="1" s="1"/>
  <c r="F53" i="1"/>
  <c r="G53" i="1"/>
  <c r="H53" i="1"/>
  <c r="J53" i="1" s="1"/>
  <c r="A258" i="1" a="1"/>
  <c r="A258" i="1" s="1"/>
  <c r="B258" i="1"/>
  <c r="C258" i="1" a="1"/>
  <c r="C258" i="1" s="1"/>
  <c r="D258" i="1" a="1"/>
  <c r="D258" i="1" s="1"/>
  <c r="E258" i="1" a="1"/>
  <c r="E258" i="1" s="1"/>
  <c r="F258" i="1"/>
  <c r="G258" i="1"/>
  <c r="H258" i="1"/>
  <c r="A120" i="1" a="1"/>
  <c r="A120" i="1" s="1"/>
  <c r="B120" i="1"/>
  <c r="C120" i="1" a="1"/>
  <c r="C120" i="1" s="1"/>
  <c r="D120" i="1" a="1"/>
  <c r="D120" i="1" s="1"/>
  <c r="E120" i="1" a="1"/>
  <c r="E120" i="1" s="1"/>
  <c r="F120" i="1"/>
  <c r="G120" i="1"/>
  <c r="H120" i="1"/>
  <c r="J120" i="1" s="1"/>
  <c r="A532" i="1" a="1"/>
  <c r="A532" i="1" s="1"/>
  <c r="B532" i="1"/>
  <c r="C532" i="1" a="1"/>
  <c r="C532" i="1" s="1"/>
  <c r="D532" i="1" a="1"/>
  <c r="D532" i="1" s="1"/>
  <c r="E532" i="1" a="1"/>
  <c r="E532" i="1" s="1"/>
  <c r="F532" i="1"/>
  <c r="G532" i="1"/>
  <c r="H532" i="1"/>
  <c r="J532" i="1" s="1"/>
  <c r="A54" i="1" a="1"/>
  <c r="A54" i="1" s="1"/>
  <c r="B54" i="1"/>
  <c r="C54" i="1" a="1"/>
  <c r="C54" i="1" s="1"/>
  <c r="D54" i="1" a="1"/>
  <c r="D54" i="1" s="1"/>
  <c r="E54" i="1" a="1"/>
  <c r="E54" i="1" s="1"/>
  <c r="F54" i="1"/>
  <c r="G54" i="1"/>
  <c r="H54" i="1"/>
  <c r="A259" i="1" a="1"/>
  <c r="A259" i="1" s="1"/>
  <c r="B259" i="1"/>
  <c r="C259" i="1" a="1"/>
  <c r="C259" i="1" s="1"/>
  <c r="D259" i="1" a="1"/>
  <c r="D259" i="1" s="1"/>
  <c r="E259" i="1" a="1"/>
  <c r="E259" i="1" s="1"/>
  <c r="F259" i="1"/>
  <c r="G259" i="1"/>
  <c r="H259" i="1"/>
  <c r="J259" i="1" s="1"/>
  <c r="A469" i="1" a="1"/>
  <c r="A469" i="1" s="1"/>
  <c r="B469" i="1"/>
  <c r="C469" i="1" a="1"/>
  <c r="C469" i="1" s="1"/>
  <c r="D469" i="1" a="1"/>
  <c r="D469" i="1" s="1"/>
  <c r="E469" i="1" a="1"/>
  <c r="E469" i="1" s="1"/>
  <c r="F469" i="1"/>
  <c r="G469" i="1"/>
  <c r="H469" i="1"/>
  <c r="J469" i="1" s="1"/>
  <c r="A470" i="1" a="1"/>
  <c r="A470" i="1" s="1"/>
  <c r="B470" i="1"/>
  <c r="C470" i="1" a="1"/>
  <c r="C470" i="1" s="1"/>
  <c r="D470" i="1" a="1"/>
  <c r="D470" i="1" s="1"/>
  <c r="E470" i="1" a="1"/>
  <c r="E470" i="1" s="1"/>
  <c r="F470" i="1"/>
  <c r="G470" i="1"/>
  <c r="H470" i="1"/>
  <c r="J470" i="1" s="1"/>
  <c r="A471" i="1" a="1"/>
  <c r="A471" i="1" s="1"/>
  <c r="B471" i="1"/>
  <c r="C471" i="1" a="1"/>
  <c r="C471" i="1" s="1"/>
  <c r="D471" i="1" a="1"/>
  <c r="D471" i="1" s="1"/>
  <c r="E471" i="1" a="1"/>
  <c r="E471" i="1" s="1"/>
  <c r="F471" i="1"/>
  <c r="G471" i="1"/>
  <c r="H471" i="1"/>
  <c r="J471" i="1" s="1"/>
  <c r="A392" i="1" a="1"/>
  <c r="A392" i="1" s="1"/>
  <c r="B392" i="1"/>
  <c r="C392" i="1" a="1"/>
  <c r="C392" i="1" s="1"/>
  <c r="D392" i="1" a="1"/>
  <c r="D392" i="1" s="1"/>
  <c r="E392" i="1" a="1"/>
  <c r="E392" i="1" s="1"/>
  <c r="F392" i="1"/>
  <c r="G392" i="1"/>
  <c r="H392" i="1"/>
  <c r="J392" i="1" s="1"/>
  <c r="A393" i="1" a="1"/>
  <c r="A393" i="1" s="1"/>
  <c r="B393" i="1"/>
  <c r="C393" i="1" a="1"/>
  <c r="C393" i="1" s="1"/>
  <c r="D393" i="1" a="1"/>
  <c r="D393" i="1" s="1"/>
  <c r="E393" i="1" a="1"/>
  <c r="E393" i="1" s="1"/>
  <c r="F393" i="1"/>
  <c r="G393" i="1"/>
  <c r="H393" i="1"/>
  <c r="J393" i="1" s="1"/>
  <c r="A55" i="1" a="1"/>
  <c r="A55" i="1" s="1"/>
  <c r="B55" i="1"/>
  <c r="C55" i="1" a="1"/>
  <c r="C55" i="1" s="1"/>
  <c r="D55" i="1" a="1"/>
  <c r="D55" i="1" s="1"/>
  <c r="E55" i="1" a="1"/>
  <c r="E55" i="1" s="1"/>
  <c r="F55" i="1"/>
  <c r="G55" i="1"/>
  <c r="H55" i="1"/>
  <c r="J55" i="1" s="1"/>
  <c r="A188" i="1" a="1"/>
  <c r="A188" i="1" s="1"/>
  <c r="B188" i="1"/>
  <c r="C188" i="1" a="1"/>
  <c r="C188" i="1" s="1"/>
  <c r="D188" i="1" a="1"/>
  <c r="D188" i="1" s="1"/>
  <c r="E188" i="1" a="1"/>
  <c r="E188" i="1" s="1"/>
  <c r="F188" i="1"/>
  <c r="G188" i="1"/>
  <c r="H188" i="1"/>
  <c r="J188" i="1" s="1"/>
  <c r="A588" i="1" a="1"/>
  <c r="A588" i="1" s="1"/>
  <c r="B588" i="1"/>
  <c r="C588" i="1" a="1"/>
  <c r="C588" i="1" s="1"/>
  <c r="D588" i="1" a="1"/>
  <c r="D588" i="1" s="1"/>
  <c r="E588" i="1" a="1"/>
  <c r="E588" i="1" s="1"/>
  <c r="F588" i="1"/>
  <c r="G588" i="1"/>
  <c r="H588" i="1"/>
  <c r="J588" i="1" s="1"/>
  <c r="A189" i="1" a="1"/>
  <c r="A189" i="1" s="1"/>
  <c r="B189" i="1"/>
  <c r="C189" i="1" a="1"/>
  <c r="C189" i="1" s="1"/>
  <c r="D189" i="1" a="1"/>
  <c r="D189" i="1" s="1"/>
  <c r="E189" i="1" a="1"/>
  <c r="E189" i="1" s="1"/>
  <c r="F189" i="1"/>
  <c r="G189" i="1"/>
  <c r="H189" i="1"/>
  <c r="A260" i="1" a="1"/>
  <c r="A260" i="1" s="1"/>
  <c r="B260" i="1"/>
  <c r="C260" i="1" a="1"/>
  <c r="C260" i="1" s="1"/>
  <c r="D260" i="1" a="1"/>
  <c r="D260" i="1" s="1"/>
  <c r="E260" i="1" a="1"/>
  <c r="E260" i="1" s="1"/>
  <c r="F260" i="1"/>
  <c r="G260" i="1"/>
  <c r="H260" i="1"/>
  <c r="J260" i="1" s="1"/>
  <c r="A472" i="1" a="1"/>
  <c r="A472" i="1" s="1"/>
  <c r="B472" i="1"/>
  <c r="C472" i="1" a="1"/>
  <c r="C472" i="1" s="1"/>
  <c r="D472" i="1" a="1"/>
  <c r="D472" i="1" s="1"/>
  <c r="E472" i="1" a="1"/>
  <c r="E472" i="1" s="1"/>
  <c r="F472" i="1"/>
  <c r="G472" i="1"/>
  <c r="H472" i="1"/>
  <c r="J472" i="1" s="1"/>
  <c r="A56" i="1" a="1"/>
  <c r="A56" i="1" s="1"/>
  <c r="B56" i="1"/>
  <c r="C56" i="1" a="1"/>
  <c r="C56" i="1" s="1"/>
  <c r="D56" i="1" a="1"/>
  <c r="D56" i="1" s="1"/>
  <c r="E56" i="1" a="1"/>
  <c r="E56" i="1" s="1"/>
  <c r="F56" i="1"/>
  <c r="G56" i="1"/>
  <c r="H56" i="1"/>
  <c r="J56" i="1" s="1"/>
  <c r="A57" i="1" a="1"/>
  <c r="A57" i="1" s="1"/>
  <c r="B57" i="1"/>
  <c r="C57" i="1" a="1"/>
  <c r="C57" i="1" s="1"/>
  <c r="D57" i="1" a="1"/>
  <c r="D57" i="1" s="1"/>
  <c r="E57" i="1" a="1"/>
  <c r="E57" i="1" s="1"/>
  <c r="F57" i="1"/>
  <c r="G57" i="1"/>
  <c r="H57" i="1"/>
  <c r="J57" i="1" s="1"/>
  <c r="A473" i="1" a="1"/>
  <c r="A473" i="1" s="1"/>
  <c r="B473" i="1"/>
  <c r="C473" i="1" a="1"/>
  <c r="C473" i="1" s="1"/>
  <c r="D473" i="1" a="1"/>
  <c r="D473" i="1" s="1"/>
  <c r="E473" i="1" a="1"/>
  <c r="E473" i="1" s="1"/>
  <c r="F473" i="1"/>
  <c r="G473" i="1"/>
  <c r="H473" i="1"/>
  <c r="J473" i="1" s="1"/>
  <c r="A474" i="1" a="1"/>
  <c r="A474" i="1" s="1"/>
  <c r="B474" i="1"/>
  <c r="C474" i="1" a="1"/>
  <c r="C474" i="1" s="1"/>
  <c r="D474" i="1" a="1"/>
  <c r="D474" i="1" s="1"/>
  <c r="E474" i="1" a="1"/>
  <c r="E474" i="1" s="1"/>
  <c r="F474" i="1"/>
  <c r="G474" i="1"/>
  <c r="H474" i="1"/>
  <c r="J474" i="1" s="1"/>
  <c r="A261" i="1" a="1"/>
  <c r="A261" i="1" s="1"/>
  <c r="B261" i="1"/>
  <c r="C261" i="1" a="1"/>
  <c r="C261" i="1" s="1"/>
  <c r="D261" i="1" a="1"/>
  <c r="D261" i="1" s="1"/>
  <c r="E261" i="1" a="1"/>
  <c r="E261" i="1" s="1"/>
  <c r="F261" i="1"/>
  <c r="G261" i="1"/>
  <c r="H261" i="1"/>
  <c r="J261" i="1" s="1"/>
  <c r="A262" i="1" a="1"/>
  <c r="A262" i="1" s="1"/>
  <c r="B262" i="1"/>
  <c r="C262" i="1" a="1"/>
  <c r="C262" i="1" s="1"/>
  <c r="D262" i="1" a="1"/>
  <c r="D262" i="1" s="1"/>
  <c r="E262" i="1" a="1"/>
  <c r="E262" i="1" s="1"/>
  <c r="F262" i="1"/>
  <c r="G262" i="1"/>
  <c r="H262" i="1"/>
  <c r="J262" i="1" s="1"/>
  <c r="A394" i="1" a="1"/>
  <c r="A394" i="1" s="1"/>
  <c r="B394" i="1"/>
  <c r="C394" i="1" a="1"/>
  <c r="C394" i="1" s="1"/>
  <c r="D394" i="1" a="1"/>
  <c r="D394" i="1" s="1"/>
  <c r="E394" i="1" a="1"/>
  <c r="E394" i="1" s="1"/>
  <c r="F394" i="1"/>
  <c r="G394" i="1"/>
  <c r="H394" i="1"/>
  <c r="J394" i="1" s="1"/>
  <c r="A644" i="1" a="1"/>
  <c r="A644" i="1" s="1"/>
  <c r="B644" i="1"/>
  <c r="C644" i="1" a="1"/>
  <c r="C644" i="1" s="1"/>
  <c r="D644" i="1" a="1"/>
  <c r="D644" i="1" s="1"/>
  <c r="E644" i="1" a="1"/>
  <c r="E644" i="1" s="1"/>
  <c r="F644" i="1"/>
  <c r="G644" i="1"/>
  <c r="H644" i="1"/>
  <c r="J644" i="1" s="1"/>
  <c r="A475" i="1" a="1"/>
  <c r="A475" i="1" s="1"/>
  <c r="B475" i="1"/>
  <c r="C475" i="1" a="1"/>
  <c r="C475" i="1" s="1"/>
  <c r="D475" i="1" a="1"/>
  <c r="D475" i="1" s="1"/>
  <c r="E475" i="1" a="1"/>
  <c r="E475" i="1" s="1"/>
  <c r="F475" i="1"/>
  <c r="G475" i="1"/>
  <c r="H475" i="1"/>
  <c r="J475" i="1" s="1"/>
  <c r="A645" i="1" a="1"/>
  <c r="A645" i="1" s="1"/>
  <c r="B645" i="1"/>
  <c r="C645" i="1" a="1"/>
  <c r="C645" i="1" s="1"/>
  <c r="D645" i="1" a="1"/>
  <c r="D645" i="1" s="1"/>
  <c r="E645" i="1" a="1"/>
  <c r="E645" i="1" s="1"/>
  <c r="F645" i="1"/>
  <c r="G645" i="1"/>
  <c r="H645" i="1"/>
  <c r="J645" i="1" s="1"/>
  <c r="A190" i="1" a="1"/>
  <c r="A190" i="1" s="1"/>
  <c r="B190" i="1"/>
  <c r="C190" i="1" a="1"/>
  <c r="C190" i="1" s="1"/>
  <c r="D190" i="1" a="1"/>
  <c r="D190" i="1" s="1"/>
  <c r="E190" i="1" a="1"/>
  <c r="E190" i="1" s="1"/>
  <c r="F190" i="1"/>
  <c r="G190" i="1"/>
  <c r="H190" i="1"/>
  <c r="J190" i="1" s="1"/>
  <c r="A191" i="1" a="1"/>
  <c r="A191" i="1" s="1"/>
  <c r="B191" i="1"/>
  <c r="C191" i="1" a="1"/>
  <c r="C191" i="1" s="1"/>
  <c r="D191" i="1" a="1"/>
  <c r="D191" i="1" s="1"/>
  <c r="E191" i="1" a="1"/>
  <c r="E191" i="1" s="1"/>
  <c r="F191" i="1"/>
  <c r="G191" i="1"/>
  <c r="H191" i="1"/>
  <c r="J191" i="1" s="1"/>
  <c r="A646" i="1" a="1"/>
  <c r="A646" i="1"/>
  <c r="B646" i="1"/>
  <c r="C646" i="1" a="1"/>
  <c r="C646" i="1" s="1"/>
  <c r="D646" i="1" a="1"/>
  <c r="D646" i="1" s="1"/>
  <c r="E646" i="1" a="1"/>
  <c r="E646" i="1" s="1"/>
  <c r="F646" i="1"/>
  <c r="G646" i="1"/>
  <c r="H646" i="1"/>
  <c r="J646" i="1" s="1"/>
  <c r="A263" i="1" a="1"/>
  <c r="A263" i="1" s="1"/>
  <c r="B263" i="1"/>
  <c r="C263" i="1" a="1"/>
  <c r="C263" i="1" s="1"/>
  <c r="D263" i="1" a="1"/>
  <c r="D263" i="1" s="1"/>
  <c r="E263" i="1" a="1"/>
  <c r="E263" i="1" s="1"/>
  <c r="F263" i="1"/>
  <c r="G263" i="1"/>
  <c r="H263" i="1"/>
  <c r="A589" i="1" a="1"/>
  <c r="A589" i="1" s="1"/>
  <c r="B589" i="1"/>
  <c r="C589" i="1" a="1"/>
  <c r="C589" i="1" s="1"/>
  <c r="D589" i="1" a="1"/>
  <c r="D589" i="1" s="1"/>
  <c r="E589" i="1" a="1"/>
  <c r="E589" i="1" s="1"/>
  <c r="F589" i="1"/>
  <c r="G589" i="1"/>
  <c r="H589" i="1"/>
  <c r="J589" i="1" s="1"/>
  <c r="A121" i="1" a="1"/>
  <c r="A121" i="1" s="1"/>
  <c r="B121" i="1"/>
  <c r="C121" i="1" a="1"/>
  <c r="C121" i="1" s="1"/>
  <c r="D121" i="1" a="1"/>
  <c r="D121" i="1" s="1"/>
  <c r="E121" i="1" a="1"/>
  <c r="E121" i="1" s="1"/>
  <c r="F121" i="1"/>
  <c r="G121" i="1"/>
  <c r="H121" i="1"/>
  <c r="J121" i="1" s="1"/>
  <c r="A533" i="1" a="1"/>
  <c r="A533" i="1" s="1"/>
  <c r="B533" i="1"/>
  <c r="C533" i="1" a="1"/>
  <c r="C533" i="1" s="1"/>
  <c r="D533" i="1" a="1"/>
  <c r="D533" i="1" s="1"/>
  <c r="E533" i="1" a="1"/>
  <c r="E533" i="1" s="1"/>
  <c r="F533" i="1"/>
  <c r="G533" i="1"/>
  <c r="H533" i="1"/>
  <c r="J533" i="1" s="1"/>
  <c r="A122" i="1" a="1"/>
  <c r="A122" i="1" s="1"/>
  <c r="B122" i="1"/>
  <c r="C122" i="1" a="1"/>
  <c r="C122" i="1" s="1"/>
  <c r="D122" i="1" a="1"/>
  <c r="D122" i="1" s="1"/>
  <c r="E122" i="1" a="1"/>
  <c r="E122" i="1" s="1"/>
  <c r="F122" i="1"/>
  <c r="G122" i="1"/>
  <c r="H122" i="1"/>
  <c r="J122" i="1" s="1"/>
  <c r="A395" i="1" a="1"/>
  <c r="A395" i="1" s="1"/>
  <c r="B395" i="1"/>
  <c r="C395" i="1" a="1"/>
  <c r="C395" i="1" s="1"/>
  <c r="D395" i="1" a="1"/>
  <c r="D395" i="1" s="1"/>
  <c r="E395" i="1" a="1"/>
  <c r="E395" i="1" s="1"/>
  <c r="F395" i="1"/>
  <c r="G395" i="1"/>
  <c r="H395" i="1"/>
  <c r="J395" i="1" s="1"/>
  <c r="A332" i="1" a="1"/>
  <c r="A332" i="1" s="1"/>
  <c r="B332" i="1"/>
  <c r="C332" i="1" a="1"/>
  <c r="C332" i="1" s="1"/>
  <c r="D332" i="1" a="1"/>
  <c r="D332" i="1" s="1"/>
  <c r="E332" i="1" a="1"/>
  <c r="E332" i="1" s="1"/>
  <c r="F332" i="1"/>
  <c r="G332" i="1"/>
  <c r="H332" i="1"/>
  <c r="J332" i="1" s="1"/>
  <c r="A58" i="1" a="1"/>
  <c r="A58" i="1" s="1"/>
  <c r="B58" i="1"/>
  <c r="C58" i="1" a="1"/>
  <c r="C58" i="1" s="1"/>
  <c r="D58" i="1" a="1"/>
  <c r="D58" i="1" s="1"/>
  <c r="E58" i="1" a="1"/>
  <c r="E58" i="1" s="1"/>
  <c r="F58" i="1"/>
  <c r="G58" i="1"/>
  <c r="H58" i="1"/>
  <c r="J58" i="1" s="1"/>
  <c r="A396" i="1" a="1"/>
  <c r="A396" i="1" s="1"/>
  <c r="B396" i="1"/>
  <c r="C396" i="1" a="1"/>
  <c r="C396" i="1" s="1"/>
  <c r="D396" i="1" a="1"/>
  <c r="D396" i="1" s="1"/>
  <c r="E396" i="1" a="1"/>
  <c r="E396" i="1" s="1"/>
  <c r="F396" i="1"/>
  <c r="G396" i="1"/>
  <c r="H396" i="1"/>
  <c r="A123" i="1" a="1"/>
  <c r="A123" i="1" s="1"/>
  <c r="B123" i="1"/>
  <c r="C123" i="1" a="1"/>
  <c r="C123" i="1" s="1"/>
  <c r="D123" i="1" a="1"/>
  <c r="D123" i="1" s="1"/>
  <c r="E123" i="1" a="1"/>
  <c r="E123" i="1" s="1"/>
  <c r="F123" i="1"/>
  <c r="G123" i="1"/>
  <c r="H123" i="1"/>
  <c r="J123" i="1" s="1"/>
  <c r="A647" i="1" a="1"/>
  <c r="A647" i="1" s="1"/>
  <c r="B647" i="1"/>
  <c r="C647" i="1" a="1"/>
  <c r="C647" i="1" s="1"/>
  <c r="D647" i="1" a="1"/>
  <c r="D647" i="1" s="1"/>
  <c r="E647" i="1" a="1"/>
  <c r="E647" i="1" s="1"/>
  <c r="F647" i="1"/>
  <c r="G647" i="1"/>
  <c r="H647" i="1"/>
  <c r="J647" i="1" s="1"/>
  <c r="A264" i="1" a="1"/>
  <c r="A264" i="1" s="1"/>
  <c r="B264" i="1"/>
  <c r="C264" i="1" a="1"/>
  <c r="C264" i="1" s="1"/>
  <c r="D264" i="1" a="1"/>
  <c r="D264" i="1" s="1"/>
  <c r="E264" i="1" a="1"/>
  <c r="E264" i="1" s="1"/>
  <c r="F264" i="1"/>
  <c r="G264" i="1"/>
  <c r="H264" i="1"/>
  <c r="J264" i="1" s="1"/>
  <c r="A534" i="1" a="1"/>
  <c r="A534" i="1" s="1"/>
  <c r="B534" i="1"/>
  <c r="C534" i="1" a="1"/>
  <c r="C534" i="1" s="1"/>
  <c r="D534" i="1" a="1"/>
  <c r="D534" i="1" s="1"/>
  <c r="E534" i="1" a="1"/>
  <c r="E534" i="1" s="1"/>
  <c r="F534" i="1"/>
  <c r="G534" i="1"/>
  <c r="H534" i="1"/>
  <c r="J534" i="1" s="1"/>
  <c r="A648" i="1" a="1"/>
  <c r="A648" i="1" s="1"/>
  <c r="B648" i="1"/>
  <c r="C648" i="1" a="1"/>
  <c r="C648" i="1" s="1"/>
  <c r="D648" i="1" a="1"/>
  <c r="D648" i="1" s="1"/>
  <c r="E648" i="1" a="1"/>
  <c r="E648" i="1" s="1"/>
  <c r="F648" i="1"/>
  <c r="G648" i="1"/>
  <c r="H648" i="1"/>
  <c r="J648" i="1" s="1"/>
  <c r="A397" i="1" a="1"/>
  <c r="A397" i="1"/>
  <c r="B397" i="1"/>
  <c r="C397" i="1" a="1"/>
  <c r="C397" i="1" s="1"/>
  <c r="D397" i="1" a="1"/>
  <c r="D397" i="1" s="1"/>
  <c r="E397" i="1" a="1"/>
  <c r="E397" i="1" s="1"/>
  <c r="F397" i="1"/>
  <c r="G397" i="1"/>
  <c r="H397" i="1"/>
  <c r="J397" i="1" s="1"/>
  <c r="A476" i="1" a="1"/>
  <c r="A476" i="1" s="1"/>
  <c r="B476" i="1"/>
  <c r="C476" i="1" a="1"/>
  <c r="C476" i="1" s="1"/>
  <c r="D476" i="1" a="1"/>
  <c r="D476" i="1" s="1"/>
  <c r="E476" i="1" a="1"/>
  <c r="E476" i="1" s="1"/>
  <c r="F476" i="1"/>
  <c r="G476" i="1"/>
  <c r="H476" i="1"/>
  <c r="J476" i="1" s="1"/>
  <c r="A590" i="1" a="1"/>
  <c r="A590" i="1" s="1"/>
  <c r="B590" i="1"/>
  <c r="C590" i="1" a="1"/>
  <c r="C590" i="1" s="1"/>
  <c r="D590" i="1" a="1"/>
  <c r="D590" i="1" s="1"/>
  <c r="E590" i="1" a="1"/>
  <c r="E590" i="1" s="1"/>
  <c r="F590" i="1"/>
  <c r="G590" i="1"/>
  <c r="H590" i="1"/>
  <c r="A192" i="1" a="1"/>
  <c r="A192" i="1" s="1"/>
  <c r="B192" i="1"/>
  <c r="C192" i="1" a="1"/>
  <c r="C192" i="1" s="1"/>
  <c r="D192" i="1" a="1"/>
  <c r="D192" i="1" s="1"/>
  <c r="E192" i="1" a="1"/>
  <c r="E192" i="1" s="1"/>
  <c r="F192" i="1"/>
  <c r="G192" i="1"/>
  <c r="H192" i="1"/>
  <c r="J192" i="1" s="1"/>
  <c r="A265" i="1" a="1"/>
  <c r="A265" i="1" s="1"/>
  <c r="B265" i="1"/>
  <c r="C265" i="1" a="1"/>
  <c r="C265" i="1" s="1"/>
  <c r="D265" i="1" a="1"/>
  <c r="D265" i="1" s="1"/>
  <c r="E265" i="1" a="1"/>
  <c r="E265" i="1" s="1"/>
  <c r="F265" i="1"/>
  <c r="G265" i="1"/>
  <c r="H265" i="1"/>
  <c r="J265" i="1" s="1"/>
  <c r="A477" i="1" a="1"/>
  <c r="A477" i="1" s="1"/>
  <c r="B477" i="1"/>
  <c r="C477" i="1" a="1"/>
  <c r="C477" i="1" s="1"/>
  <c r="D477" i="1" a="1"/>
  <c r="D477" i="1" s="1"/>
  <c r="E477" i="1" a="1"/>
  <c r="E477" i="1" s="1"/>
  <c r="F477" i="1"/>
  <c r="G477" i="1"/>
  <c r="H477" i="1"/>
  <c r="J477" i="1" s="1"/>
  <c r="A591" i="1" a="1"/>
  <c r="A591" i="1" s="1"/>
  <c r="B591" i="1"/>
  <c r="C591" i="1" a="1"/>
  <c r="C591" i="1" s="1"/>
  <c r="D591" i="1" a="1"/>
  <c r="D591" i="1" s="1"/>
  <c r="E591" i="1" a="1"/>
  <c r="E591" i="1" s="1"/>
  <c r="F591" i="1"/>
  <c r="G591" i="1"/>
  <c r="H591" i="1"/>
  <c r="J591" i="1" s="1"/>
  <c r="A193" i="1" a="1"/>
  <c r="A193" i="1" s="1"/>
  <c r="B193" i="1"/>
  <c r="C193" i="1" a="1"/>
  <c r="C193" i="1" s="1"/>
  <c r="D193" i="1" a="1"/>
  <c r="D193" i="1" s="1"/>
  <c r="E193" i="1" a="1"/>
  <c r="E193" i="1" s="1"/>
  <c r="F193" i="1"/>
  <c r="G193" i="1"/>
  <c r="H193" i="1"/>
  <c r="J193" i="1" s="1"/>
  <c r="A333" i="1" a="1"/>
  <c r="A333" i="1" s="1"/>
  <c r="B333" i="1"/>
  <c r="C333" i="1" a="1"/>
  <c r="C333" i="1" s="1"/>
  <c r="D333" i="1" a="1"/>
  <c r="D333" i="1" s="1"/>
  <c r="E333" i="1" a="1"/>
  <c r="E333" i="1" s="1"/>
  <c r="F333" i="1"/>
  <c r="G333" i="1"/>
  <c r="H333" i="1"/>
  <c r="J333" i="1" s="1"/>
  <c r="A124" i="1" a="1"/>
  <c r="A124" i="1" s="1"/>
  <c r="B124" i="1"/>
  <c r="C124" i="1" a="1"/>
  <c r="C124" i="1" s="1"/>
  <c r="D124" i="1" a="1"/>
  <c r="D124" i="1" s="1"/>
  <c r="E124" i="1" a="1"/>
  <c r="E124" i="1" s="1"/>
  <c r="F124" i="1"/>
  <c r="G124" i="1"/>
  <c r="H124" i="1"/>
  <c r="J124" i="1" s="1"/>
  <c r="A478" i="1" a="1"/>
  <c r="A478" i="1" s="1"/>
  <c r="B478" i="1"/>
  <c r="C478" i="1" a="1"/>
  <c r="C478" i="1" s="1"/>
  <c r="D478" i="1" a="1"/>
  <c r="D478" i="1" s="1"/>
  <c r="E478" i="1" a="1"/>
  <c r="E478" i="1" s="1"/>
  <c r="F478" i="1"/>
  <c r="G478" i="1"/>
  <c r="H478" i="1"/>
  <c r="A266" i="1" a="1"/>
  <c r="A266" i="1" s="1"/>
  <c r="B266" i="1"/>
  <c r="C266" i="1" a="1"/>
  <c r="C266" i="1" s="1"/>
  <c r="D266" i="1" a="1"/>
  <c r="D266" i="1" s="1"/>
  <c r="E266" i="1" a="1"/>
  <c r="E266" i="1" s="1"/>
  <c r="F266" i="1"/>
  <c r="G266" i="1"/>
  <c r="H266" i="1"/>
  <c r="J266" i="1" s="1"/>
  <c r="A334" i="1" a="1"/>
  <c r="A334" i="1" s="1"/>
  <c r="B334" i="1"/>
  <c r="C334" i="1" a="1"/>
  <c r="C334" i="1" s="1"/>
  <c r="D334" i="1" a="1"/>
  <c r="D334" i="1" s="1"/>
  <c r="E334" i="1" a="1"/>
  <c r="E334" i="1" s="1"/>
  <c r="F334" i="1"/>
  <c r="G334" i="1"/>
  <c r="H334" i="1"/>
  <c r="J334" i="1" s="1"/>
  <c r="A125" i="1" a="1"/>
  <c r="A125" i="1" s="1"/>
  <c r="B125" i="1"/>
  <c r="C125" i="1" a="1"/>
  <c r="C125" i="1" s="1"/>
  <c r="D125" i="1" a="1"/>
  <c r="D125" i="1" s="1"/>
  <c r="E125" i="1" a="1"/>
  <c r="E125" i="1" s="1"/>
  <c r="F125" i="1"/>
  <c r="G125" i="1"/>
  <c r="H125" i="1"/>
  <c r="A398" i="1" a="1"/>
  <c r="A398" i="1" s="1"/>
  <c r="B398" i="1"/>
  <c r="C398" i="1" a="1"/>
  <c r="C398" i="1" s="1"/>
  <c r="D398" i="1" a="1"/>
  <c r="D398" i="1" s="1"/>
  <c r="E398" i="1" a="1"/>
  <c r="E398" i="1" s="1"/>
  <c r="F398" i="1"/>
  <c r="G398" i="1"/>
  <c r="H398" i="1"/>
  <c r="J398" i="1" s="1"/>
  <c r="A479" i="1" a="1"/>
  <c r="A479" i="1" s="1"/>
  <c r="B479" i="1"/>
  <c r="C479" i="1" a="1"/>
  <c r="C479" i="1" s="1"/>
  <c r="D479" i="1" a="1"/>
  <c r="D479" i="1" s="1"/>
  <c r="E479" i="1" a="1"/>
  <c r="E479" i="1" s="1"/>
  <c r="F479" i="1"/>
  <c r="G479" i="1"/>
  <c r="H479" i="1"/>
  <c r="J479" i="1" s="1"/>
  <c r="A194" i="1" a="1"/>
  <c r="A194" i="1" s="1"/>
  <c r="B194" i="1"/>
  <c r="C194" i="1" a="1"/>
  <c r="C194" i="1" s="1"/>
  <c r="D194" i="1" a="1"/>
  <c r="D194" i="1" s="1"/>
  <c r="E194" i="1" a="1"/>
  <c r="E194" i="1" s="1"/>
  <c r="F194" i="1"/>
  <c r="G194" i="1"/>
  <c r="H194" i="1"/>
  <c r="J194" i="1" s="1"/>
  <c r="A59" i="1" a="1"/>
  <c r="A59" i="1" s="1"/>
  <c r="B59" i="1"/>
  <c r="C59" i="1" a="1"/>
  <c r="C59" i="1" s="1"/>
  <c r="D59" i="1" a="1"/>
  <c r="D59" i="1" s="1"/>
  <c r="E59" i="1" a="1"/>
  <c r="E59" i="1" s="1"/>
  <c r="F59" i="1"/>
  <c r="G59" i="1"/>
  <c r="H59" i="1"/>
  <c r="J59" i="1" s="1"/>
  <c r="A195" i="1" a="1"/>
  <c r="A195" i="1" s="1"/>
  <c r="B195" i="1"/>
  <c r="C195" i="1" a="1"/>
  <c r="C195" i="1" s="1"/>
  <c r="D195" i="1" a="1"/>
  <c r="D195" i="1" s="1"/>
  <c r="E195" i="1" a="1"/>
  <c r="E195" i="1" s="1"/>
  <c r="F195" i="1"/>
  <c r="G195" i="1"/>
  <c r="H195" i="1"/>
  <c r="A535" i="1" a="1"/>
  <c r="A535" i="1" s="1"/>
  <c r="B535" i="1"/>
  <c r="C535" i="1" a="1"/>
  <c r="C535" i="1" s="1"/>
  <c r="D535" i="1" a="1"/>
  <c r="D535" i="1" s="1"/>
  <c r="E535" i="1" a="1"/>
  <c r="E535" i="1" s="1"/>
  <c r="F535" i="1"/>
  <c r="G535" i="1"/>
  <c r="H535" i="1"/>
  <c r="J535" i="1" s="1"/>
  <c r="A60" i="1" a="1"/>
  <c r="A60" i="1" s="1"/>
  <c r="B60" i="1"/>
  <c r="C60" i="1" a="1"/>
  <c r="C60" i="1" s="1"/>
  <c r="D60" i="1" a="1"/>
  <c r="D60" i="1" s="1"/>
  <c r="E60" i="1" a="1"/>
  <c r="E60" i="1" s="1"/>
  <c r="F60" i="1"/>
  <c r="G60" i="1"/>
  <c r="H60" i="1"/>
  <c r="J60" i="1" s="1"/>
  <c r="A649" i="1" a="1"/>
  <c r="A649" i="1" s="1"/>
  <c r="B649" i="1"/>
  <c r="C649" i="1" a="1"/>
  <c r="C649" i="1" s="1"/>
  <c r="D649" i="1" a="1"/>
  <c r="D649" i="1" s="1"/>
  <c r="E649" i="1" a="1"/>
  <c r="E649" i="1" s="1"/>
  <c r="F649" i="1"/>
  <c r="G649" i="1"/>
  <c r="H649" i="1"/>
  <c r="J649" i="1" s="1"/>
  <c r="A536" i="1" a="1"/>
  <c r="A536" i="1" s="1"/>
  <c r="B536" i="1"/>
  <c r="C536" i="1" a="1"/>
  <c r="C536" i="1" s="1"/>
  <c r="D536" i="1" a="1"/>
  <c r="D536" i="1" s="1"/>
  <c r="E536" i="1" a="1"/>
  <c r="E536" i="1" s="1"/>
  <c r="F536" i="1"/>
  <c r="G536" i="1"/>
  <c r="H536" i="1"/>
  <c r="J536" i="1" s="1"/>
  <c r="A399" i="1" a="1"/>
  <c r="A399" i="1" s="1"/>
  <c r="B399" i="1"/>
  <c r="C399" i="1" a="1"/>
  <c r="C399" i="1" s="1"/>
  <c r="D399" i="1" a="1"/>
  <c r="D399" i="1" s="1"/>
  <c r="E399" i="1" a="1"/>
  <c r="E399" i="1" s="1"/>
  <c r="F399" i="1"/>
  <c r="G399" i="1"/>
  <c r="H399" i="1"/>
  <c r="J399" i="1" s="1"/>
  <c r="A592" i="1" a="1"/>
  <c r="A592" i="1" s="1"/>
  <c r="B592" i="1"/>
  <c r="C592" i="1" a="1"/>
  <c r="C592" i="1" s="1"/>
  <c r="D592" i="1" a="1"/>
  <c r="D592" i="1" s="1"/>
  <c r="E592" i="1" a="1"/>
  <c r="E592" i="1" s="1"/>
  <c r="F592" i="1"/>
  <c r="G592" i="1"/>
  <c r="H592" i="1"/>
  <c r="K620" i="1" l="1"/>
  <c r="K485" i="1"/>
  <c r="I103" i="1"/>
  <c r="K76" i="1"/>
  <c r="I603" i="1"/>
  <c r="K442" i="1"/>
  <c r="K293" i="1"/>
  <c r="K649" i="1"/>
  <c r="I147" i="1"/>
  <c r="I102" i="1"/>
  <c r="K387" i="1"/>
  <c r="I146" i="1"/>
  <c r="K634" i="1"/>
  <c r="K39" i="1"/>
  <c r="K122" i="1"/>
  <c r="K79" i="1"/>
  <c r="I188" i="1"/>
  <c r="K431" i="1"/>
  <c r="K224" i="1"/>
  <c r="K394" i="1"/>
  <c r="K325" i="1"/>
  <c r="I230" i="1"/>
  <c r="K292" i="1"/>
  <c r="K414" i="1"/>
  <c r="I521" i="1"/>
  <c r="K314" i="1"/>
  <c r="K69" i="1"/>
  <c r="I446" i="1"/>
  <c r="K196" i="1"/>
  <c r="K444" i="1"/>
  <c r="K139" i="1"/>
  <c r="I460" i="1"/>
  <c r="K448" i="1"/>
  <c r="K405" i="1"/>
  <c r="K53" i="1"/>
  <c r="I82" i="1"/>
  <c r="I214" i="1"/>
  <c r="I63" i="1"/>
  <c r="I379" i="1"/>
  <c r="I76" i="1"/>
  <c r="I60" i="1"/>
  <c r="I256" i="1"/>
  <c r="K166" i="1"/>
  <c r="I134" i="1"/>
  <c r="I484" i="1"/>
  <c r="K336" i="1"/>
  <c r="K81" i="1"/>
  <c r="K265" i="1"/>
  <c r="I611" i="1"/>
  <c r="K505" i="1"/>
  <c r="I598" i="1"/>
  <c r="K157" i="1"/>
  <c r="K552" i="1"/>
  <c r="I281" i="1"/>
  <c r="I298" i="1"/>
  <c r="I562" i="1"/>
  <c r="I492" i="1"/>
  <c r="I200" i="1"/>
  <c r="I67" i="1"/>
  <c r="I587" i="1"/>
  <c r="I475" i="1"/>
  <c r="I509" i="1"/>
  <c r="I432" i="1"/>
  <c r="I425" i="1"/>
  <c r="I401" i="1"/>
  <c r="K237" i="1"/>
  <c r="I285" i="1"/>
  <c r="K109" i="1"/>
  <c r="K567" i="1"/>
  <c r="I77" i="1"/>
  <c r="I145" i="1"/>
  <c r="I443" i="1"/>
  <c r="I605" i="1"/>
  <c r="I68" i="1"/>
  <c r="I642" i="1"/>
  <c r="I119" i="1"/>
  <c r="I513" i="1"/>
  <c r="I537" i="1"/>
  <c r="I638" i="1"/>
  <c r="K324" i="1"/>
  <c r="I86" i="1"/>
  <c r="I141" i="1"/>
  <c r="K12" i="1"/>
  <c r="K378" i="1"/>
  <c r="K15" i="1"/>
  <c r="I451" i="1"/>
  <c r="K507" i="1"/>
  <c r="K343" i="1"/>
  <c r="I265" i="1"/>
  <c r="I57" i="1"/>
  <c r="I472" i="1"/>
  <c r="I189" i="1"/>
  <c r="I532" i="1"/>
  <c r="I322" i="1"/>
  <c r="I245" i="1"/>
  <c r="I383" i="1"/>
  <c r="I106" i="1"/>
  <c r="K239" i="1"/>
  <c r="I617" i="1"/>
  <c r="K364" i="1"/>
  <c r="K215" i="1"/>
  <c r="K546" i="1"/>
  <c r="I601" i="1"/>
  <c r="I143" i="1"/>
  <c r="I345" i="1"/>
  <c r="I538" i="1"/>
  <c r="K475" i="1"/>
  <c r="I116" i="1"/>
  <c r="I251" i="1"/>
  <c r="K435" i="1"/>
  <c r="K225" i="1"/>
  <c r="K150" i="1"/>
  <c r="I426" i="1"/>
  <c r="K219" i="1"/>
  <c r="I80" i="1"/>
  <c r="I211" i="1"/>
  <c r="I471" i="1"/>
  <c r="I448" i="1"/>
  <c r="I26" i="1"/>
  <c r="I556" i="1"/>
  <c r="I15" i="1"/>
  <c r="I132" i="1"/>
  <c r="I534" i="1"/>
  <c r="I125" i="1"/>
  <c r="I394" i="1"/>
  <c r="I580" i="1"/>
  <c r="I238" i="1"/>
  <c r="I41" i="1"/>
  <c r="I569" i="1"/>
  <c r="I280" i="1"/>
  <c r="I347" i="1"/>
  <c r="I204" i="1"/>
  <c r="I273" i="1"/>
  <c r="I185" i="1"/>
  <c r="I36" i="1"/>
  <c r="I354" i="1"/>
  <c r="I418" i="1"/>
  <c r="I271" i="1"/>
  <c r="I399" i="1"/>
  <c r="I56" i="1"/>
  <c r="I517" i="1"/>
  <c r="I481" i="1"/>
  <c r="K462" i="1"/>
  <c r="I382" i="1"/>
  <c r="I24" i="1"/>
  <c r="I283" i="1"/>
  <c r="I70" i="1"/>
  <c r="I78" i="1"/>
  <c r="I487" i="1"/>
  <c r="I55" i="1"/>
  <c r="K389" i="1"/>
  <c r="I328" i="1"/>
  <c r="K255" i="1"/>
  <c r="I307" i="1"/>
  <c r="K40" i="1"/>
  <c r="I159" i="1"/>
  <c r="I616" i="1"/>
  <c r="I199" i="1"/>
  <c r="I644" i="1"/>
  <c r="K88" i="1"/>
  <c r="I272" i="1"/>
  <c r="I131" i="1"/>
  <c r="I66" i="1"/>
  <c r="K334" i="1"/>
  <c r="I123" i="1"/>
  <c r="I247" i="1"/>
  <c r="I452" i="1"/>
  <c r="I309" i="1"/>
  <c r="K503" i="1"/>
  <c r="I279" i="1"/>
  <c r="K403" i="1"/>
  <c r="K46" i="1"/>
  <c r="K173" i="1"/>
  <c r="K575" i="1"/>
  <c r="I18" i="1"/>
  <c r="I551" i="1"/>
  <c r="I276" i="1"/>
  <c r="I416" i="1"/>
  <c r="I544" i="1"/>
  <c r="I8" i="1"/>
  <c r="I597" i="1"/>
  <c r="I402" i="1"/>
  <c r="I478" i="1"/>
  <c r="I190" i="1"/>
  <c r="K531" i="1"/>
  <c r="I112" i="1"/>
  <c r="I46" i="1"/>
  <c r="I581" i="1"/>
  <c r="I385" i="1"/>
  <c r="I314" i="1"/>
  <c r="K446" i="1"/>
  <c r="K371" i="1"/>
  <c r="I367" i="1"/>
  <c r="I365" i="1"/>
  <c r="K158" i="1"/>
  <c r="K145" i="1"/>
  <c r="I144" i="1"/>
  <c r="I12" i="1"/>
  <c r="K404" i="1"/>
  <c r="I2" i="1"/>
  <c r="I192" i="1"/>
  <c r="I332" i="1"/>
  <c r="I120" i="1"/>
  <c r="I53" i="1"/>
  <c r="K48" i="1"/>
  <c r="I101" i="1"/>
  <c r="I306" i="1"/>
  <c r="K511" i="1"/>
  <c r="K508" i="1"/>
  <c r="I232" i="1"/>
  <c r="K230" i="1"/>
  <c r="K27" i="1"/>
  <c r="K294" i="1"/>
  <c r="I497" i="1"/>
  <c r="K556" i="1"/>
  <c r="I353" i="1"/>
  <c r="I206" i="1"/>
  <c r="I339" i="1"/>
  <c r="K480" i="1"/>
  <c r="I519" i="1"/>
  <c r="K572" i="1"/>
  <c r="K36" i="1"/>
  <c r="J603" i="1"/>
  <c r="K603" i="1" s="1"/>
  <c r="I5" i="1"/>
  <c r="K264" i="1"/>
  <c r="I326" i="1"/>
  <c r="I462" i="1"/>
  <c r="I585" i="1"/>
  <c r="I47" i="1"/>
  <c r="I583" i="1"/>
  <c r="I456" i="1"/>
  <c r="I633" i="1"/>
  <c r="K41" i="1"/>
  <c r="I625" i="1"/>
  <c r="K562" i="1"/>
  <c r="K369" i="1"/>
  <c r="I229" i="1"/>
  <c r="I290" i="1"/>
  <c r="I210" i="1"/>
  <c r="K598" i="1"/>
  <c r="I201" i="1"/>
  <c r="I4" i="1"/>
  <c r="I338" i="1"/>
  <c r="I121" i="1"/>
  <c r="I466" i="1"/>
  <c r="I325" i="1"/>
  <c r="I117" i="1"/>
  <c r="K115" i="1"/>
  <c r="I634" i="1"/>
  <c r="I576" i="1"/>
  <c r="I166" i="1"/>
  <c r="I563" i="1"/>
  <c r="I228" i="1"/>
  <c r="I288" i="1"/>
  <c r="I154" i="1"/>
  <c r="I359" i="1"/>
  <c r="I419" i="1"/>
  <c r="I277" i="1"/>
  <c r="I414" i="1"/>
  <c r="I483" i="1"/>
  <c r="I261" i="1"/>
  <c r="K439" i="1"/>
  <c r="I561" i="1"/>
  <c r="I615" i="1"/>
  <c r="I29" i="1"/>
  <c r="I415" i="1"/>
  <c r="I413" i="1"/>
  <c r="K66" i="1"/>
  <c r="K186" i="1"/>
  <c r="K527" i="1"/>
  <c r="I304" i="1"/>
  <c r="K621" i="1"/>
  <c r="I222" i="1"/>
  <c r="J143" i="1"/>
  <c r="K143" i="1" s="1"/>
  <c r="I342" i="1"/>
  <c r="I406" i="1"/>
  <c r="I266" i="1"/>
  <c r="I258" i="1"/>
  <c r="K185" i="1"/>
  <c r="J256" i="1"/>
  <c r="K256" i="1" s="1"/>
  <c r="I184" i="1"/>
  <c r="I176" i="1"/>
  <c r="I514" i="1"/>
  <c r="K355" i="1"/>
  <c r="I351" i="1"/>
  <c r="K533" i="1"/>
  <c r="I473" i="1"/>
  <c r="I393" i="1"/>
  <c r="I186" i="1"/>
  <c r="I111" i="1"/>
  <c r="K308" i="1"/>
  <c r="K303" i="1"/>
  <c r="I566" i="1"/>
  <c r="K373" i="1"/>
  <c r="I31" i="1"/>
  <c r="I361" i="1"/>
  <c r="I552" i="1"/>
  <c r="I549" i="1"/>
  <c r="K278" i="1"/>
  <c r="I187" i="1"/>
  <c r="I632" i="1"/>
  <c r="I167" i="1"/>
  <c r="K370" i="1"/>
  <c r="K502" i="1"/>
  <c r="I609" i="1"/>
  <c r="I360" i="1"/>
  <c r="I555" i="1"/>
  <c r="I209" i="1"/>
  <c r="I410" i="1"/>
  <c r="K269" i="1"/>
  <c r="K271" i="1"/>
  <c r="K647" i="1"/>
  <c r="I589" i="1"/>
  <c r="K469" i="1"/>
  <c r="I253" i="1"/>
  <c r="K322" i="1"/>
  <c r="I577" i="1"/>
  <c r="K569" i="1"/>
  <c r="I441" i="1"/>
  <c r="I507" i="1"/>
  <c r="I366" i="1"/>
  <c r="K617" i="1"/>
  <c r="K614" i="1"/>
  <c r="K363" i="1"/>
  <c r="K23" i="1"/>
  <c r="I429" i="1"/>
  <c r="I223" i="1"/>
  <c r="K146" i="1"/>
  <c r="I550" i="1"/>
  <c r="I137" i="1"/>
  <c r="I348" i="1"/>
  <c r="K134" i="1"/>
  <c r="I649" i="1"/>
  <c r="I398" i="1"/>
  <c r="I334" i="1"/>
  <c r="I477" i="1"/>
  <c r="I397" i="1"/>
  <c r="I646" i="1"/>
  <c r="K644" i="1"/>
  <c r="I259" i="1"/>
  <c r="I643" i="1"/>
  <c r="I255" i="1"/>
  <c r="K253" i="1"/>
  <c r="I579" i="1"/>
  <c r="I453" i="1"/>
  <c r="I43" i="1"/>
  <c r="I310" i="1"/>
  <c r="I627" i="1"/>
  <c r="I624" i="1"/>
  <c r="I296" i="1"/>
  <c r="I560" i="1"/>
  <c r="K295" i="1"/>
  <c r="I608" i="1"/>
  <c r="I430" i="1"/>
  <c r="I92" i="1"/>
  <c r="I221" i="1"/>
  <c r="K428" i="1"/>
  <c r="I75" i="1"/>
  <c r="I13" i="1"/>
  <c r="K542" i="1"/>
  <c r="I340" i="1"/>
  <c r="I127" i="1"/>
  <c r="I62" i="1"/>
  <c r="I114" i="1"/>
  <c r="I449" i="1"/>
  <c r="J18" i="1"/>
  <c r="K18" i="1" s="1"/>
  <c r="J601" i="1"/>
  <c r="K601" i="1" s="1"/>
  <c r="I142" i="1"/>
  <c r="K138" i="1"/>
  <c r="I11" i="1"/>
  <c r="I391" i="1"/>
  <c r="I329" i="1"/>
  <c r="I183" i="1"/>
  <c r="I323" i="1"/>
  <c r="K112" i="1"/>
  <c r="I578" i="1"/>
  <c r="I386" i="1"/>
  <c r="I242" i="1"/>
  <c r="I570" i="1"/>
  <c r="I377" i="1"/>
  <c r="I152" i="1"/>
  <c r="K487" i="1"/>
  <c r="K204" i="1"/>
  <c r="K10" i="1"/>
  <c r="I202" i="1"/>
  <c r="I64" i="1"/>
  <c r="I197" i="1"/>
  <c r="K458" i="1"/>
  <c r="I535" i="1"/>
  <c r="I59" i="1"/>
  <c r="J258" i="1"/>
  <c r="K258" i="1" s="1"/>
  <c r="I467" i="1"/>
  <c r="I257" i="1"/>
  <c r="I586" i="1"/>
  <c r="I458" i="1"/>
  <c r="I45" i="1"/>
  <c r="I523" i="1"/>
  <c r="K243" i="1"/>
  <c r="I447" i="1"/>
  <c r="I303" i="1"/>
  <c r="I35" i="1"/>
  <c r="K565" i="1"/>
  <c r="I226" i="1"/>
  <c r="I287" i="1"/>
  <c r="I21" i="1"/>
  <c r="I89" i="1"/>
  <c r="I278" i="1"/>
  <c r="I274" i="1"/>
  <c r="K593" i="1"/>
  <c r="I647" i="1"/>
  <c r="I52" i="1"/>
  <c r="I531" i="1"/>
  <c r="K184" i="1"/>
  <c r="I182" i="1"/>
  <c r="I525" i="1"/>
  <c r="K177" i="1"/>
  <c r="I455" i="1"/>
  <c r="I520" i="1"/>
  <c r="I311" i="1"/>
  <c r="I445" i="1"/>
  <c r="I512" i="1"/>
  <c r="K159" i="1"/>
  <c r="K203" i="1"/>
  <c r="K541" i="1"/>
  <c r="I341" i="1"/>
  <c r="I405" i="1"/>
  <c r="I335" i="1"/>
  <c r="I469" i="1"/>
  <c r="I527" i="1"/>
  <c r="I321" i="1"/>
  <c r="I524" i="1"/>
  <c r="I177" i="1"/>
  <c r="I107" i="1"/>
  <c r="K297" i="1"/>
  <c r="K616" i="1"/>
  <c r="K29" i="1"/>
  <c r="I158" i="1"/>
  <c r="K94" i="1"/>
  <c r="I208" i="1"/>
  <c r="K600" i="1"/>
  <c r="I133" i="1"/>
  <c r="I71" i="1"/>
  <c r="I203" i="1"/>
  <c r="I541" i="1"/>
  <c r="I65" i="1"/>
  <c r="I596" i="1"/>
  <c r="K591" i="1"/>
  <c r="I476" i="1"/>
  <c r="I396" i="1"/>
  <c r="I533" i="1"/>
  <c r="K454" i="1"/>
  <c r="K522" i="1"/>
  <c r="I108" i="1"/>
  <c r="J106" i="1"/>
  <c r="K106" i="1" s="1"/>
  <c r="I380" i="1"/>
  <c r="I33" i="1"/>
  <c r="I164" i="1"/>
  <c r="I162" i="1"/>
  <c r="K419" i="1"/>
  <c r="K642" i="1"/>
  <c r="I639" i="1"/>
  <c r="K636" i="1"/>
  <c r="I635" i="1"/>
  <c r="I454" i="1"/>
  <c r="I631" i="1"/>
  <c r="I522" i="1"/>
  <c r="K574" i="1"/>
  <c r="I169" i="1"/>
  <c r="I39" i="1"/>
  <c r="K564" i="1"/>
  <c r="I300" i="1"/>
  <c r="K233" i="1"/>
  <c r="I231" i="1"/>
  <c r="I227" i="1"/>
  <c r="I157" i="1"/>
  <c r="I433" i="1"/>
  <c r="I25" i="1"/>
  <c r="K494" i="1"/>
  <c r="I356" i="1"/>
  <c r="I81" i="1"/>
  <c r="I212" i="1"/>
  <c r="I139" i="1"/>
  <c r="K417" i="1"/>
  <c r="J483" i="1"/>
  <c r="K483" i="1" s="1"/>
  <c r="I191" i="1"/>
  <c r="I260" i="1"/>
  <c r="K468" i="1"/>
  <c r="I72" i="1"/>
  <c r="K200" i="1"/>
  <c r="I337" i="1"/>
  <c r="I594" i="1"/>
  <c r="K60" i="1"/>
  <c r="K470" i="1"/>
  <c r="I468" i="1"/>
  <c r="I463" i="1"/>
  <c r="I324" i="1"/>
  <c r="I319" i="1"/>
  <c r="I246" i="1"/>
  <c r="I384" i="1"/>
  <c r="I571" i="1"/>
  <c r="I104" i="1"/>
  <c r="I40" i="1"/>
  <c r="I375" i="1"/>
  <c r="K299" i="1"/>
  <c r="I364" i="1"/>
  <c r="I224" i="1"/>
  <c r="I91" i="1"/>
  <c r="K85" i="1"/>
  <c r="I213" i="1"/>
  <c r="K279" i="1"/>
  <c r="J481" i="1"/>
  <c r="K481" i="1" s="1"/>
  <c r="I195" i="1"/>
  <c r="I645" i="1"/>
  <c r="I474" i="1"/>
  <c r="I470" i="1"/>
  <c r="I389" i="1"/>
  <c r="I327" i="1"/>
  <c r="I464" i="1"/>
  <c r="K117" i="1"/>
  <c r="I113" i="1"/>
  <c r="I318" i="1"/>
  <c r="I110" i="1"/>
  <c r="I165" i="1"/>
  <c r="I442" i="1"/>
  <c r="K283" i="1"/>
  <c r="I344" i="1"/>
  <c r="K123" i="1"/>
  <c r="K521" i="1"/>
  <c r="I313" i="1"/>
  <c r="K103" i="1"/>
  <c r="I161" i="1"/>
  <c r="I558" i="1"/>
  <c r="I498" i="1"/>
  <c r="I496" i="1"/>
  <c r="K554" i="1"/>
  <c r="K604" i="1"/>
  <c r="I84" i="1"/>
  <c r="K421" i="1"/>
  <c r="I547" i="1"/>
  <c r="K141" i="1"/>
  <c r="I411" i="1"/>
  <c r="K409" i="1"/>
  <c r="I539" i="1"/>
  <c r="I194" i="1"/>
  <c r="I48" i="1"/>
  <c r="I584" i="1"/>
  <c r="I315" i="1"/>
  <c r="I305" i="1"/>
  <c r="I440" i="1"/>
  <c r="J232" i="1"/>
  <c r="K232" i="1" s="1"/>
  <c r="K423" i="1"/>
  <c r="K144" i="1"/>
  <c r="J551" i="1"/>
  <c r="K551" i="1" s="1"/>
  <c r="K277" i="1"/>
  <c r="I69" i="1"/>
  <c r="I198" i="1"/>
  <c r="I193" i="1"/>
  <c r="I590" i="1"/>
  <c r="K472" i="1"/>
  <c r="I588" i="1"/>
  <c r="K49" i="1"/>
  <c r="I461" i="1"/>
  <c r="K577" i="1"/>
  <c r="I175" i="1"/>
  <c r="I174" i="1"/>
  <c r="I170" i="1"/>
  <c r="I623" i="1"/>
  <c r="I510" i="1"/>
  <c r="I235" i="1"/>
  <c r="K611" i="1"/>
  <c r="K557" i="1"/>
  <c r="K222" i="1"/>
  <c r="I355" i="1"/>
  <c r="I424" i="1"/>
  <c r="I488" i="1"/>
  <c r="K348" i="1"/>
  <c r="I485" i="1"/>
  <c r="K63" i="1"/>
  <c r="J127" i="1"/>
  <c r="K127" i="1" s="1"/>
  <c r="I400" i="1"/>
  <c r="I479" i="1"/>
  <c r="I648" i="1"/>
  <c r="I122" i="1"/>
  <c r="K467" i="1"/>
  <c r="I217" i="1"/>
  <c r="J217" i="1"/>
  <c r="K217" i="1" s="1"/>
  <c r="J205" i="1"/>
  <c r="K205" i="1" s="1"/>
  <c r="I412" i="1"/>
  <c r="J412" i="1"/>
  <c r="K412" i="1" s="1"/>
  <c r="I58" i="1"/>
  <c r="J238" i="1"/>
  <c r="K238" i="1" s="1"/>
  <c r="I124" i="1"/>
  <c r="K589" i="1"/>
  <c r="K261" i="1"/>
  <c r="J312" i="1"/>
  <c r="K312" i="1" s="1"/>
  <c r="J125" i="1"/>
  <c r="K125" i="1" s="1"/>
  <c r="I591" i="1"/>
  <c r="I312" i="1"/>
  <c r="K121" i="1"/>
  <c r="K260" i="1"/>
  <c r="I392" i="1"/>
  <c r="K392" i="1"/>
  <c r="J236" i="1"/>
  <c r="K236" i="1" s="1"/>
  <c r="K164" i="1"/>
  <c r="I264" i="1"/>
  <c r="I395" i="1"/>
  <c r="K646" i="1"/>
  <c r="K262" i="1"/>
  <c r="J518" i="1"/>
  <c r="K518" i="1" s="1"/>
  <c r="I536" i="1"/>
  <c r="K535" i="1"/>
  <c r="K192" i="1"/>
  <c r="I262" i="1"/>
  <c r="I331" i="1"/>
  <c r="K384" i="1"/>
  <c r="J381" i="1"/>
  <c r="K381" i="1" s="1"/>
  <c r="K44" i="1"/>
  <c r="K59" i="1"/>
  <c r="K476" i="1"/>
  <c r="I592" i="1"/>
  <c r="K266" i="1"/>
  <c r="K477" i="1"/>
  <c r="I263" i="1"/>
  <c r="J459" i="1"/>
  <c r="K459" i="1" s="1"/>
  <c r="I333" i="1"/>
  <c r="K471" i="1"/>
  <c r="J530" i="1"/>
  <c r="K530" i="1" s="1"/>
  <c r="I459" i="1"/>
  <c r="K56" i="1"/>
  <c r="I530" i="1"/>
  <c r="I528" i="1"/>
  <c r="I179" i="1"/>
  <c r="I636" i="1"/>
  <c r="K176" i="1"/>
  <c r="J632" i="1"/>
  <c r="K632" i="1" s="1"/>
  <c r="J520" i="1"/>
  <c r="K520" i="1" s="1"/>
  <c r="K240" i="1"/>
  <c r="I381" i="1"/>
  <c r="J311" i="1"/>
  <c r="K311" i="1" s="1"/>
  <c r="K628" i="1"/>
  <c r="I308" i="1"/>
  <c r="J167" i="1"/>
  <c r="K167" i="1" s="1"/>
  <c r="I236" i="1"/>
  <c r="K374" i="1"/>
  <c r="I620" i="1"/>
  <c r="I299" i="1"/>
  <c r="K30" i="1"/>
  <c r="K643" i="1"/>
  <c r="I640" i="1"/>
  <c r="K584" i="1"/>
  <c r="K635" i="1"/>
  <c r="I44" i="1"/>
  <c r="I317" i="1"/>
  <c r="K110" i="1"/>
  <c r="K570" i="1"/>
  <c r="I171" i="1"/>
  <c r="K305" i="1"/>
  <c r="K512" i="1"/>
  <c r="I622" i="1"/>
  <c r="I508" i="1"/>
  <c r="I505" i="1"/>
  <c r="I504" i="1"/>
  <c r="I30" i="1"/>
  <c r="J22" i="1"/>
  <c r="K22" i="1" s="1"/>
  <c r="I207" i="1"/>
  <c r="J207" i="1"/>
  <c r="K207" i="1" s="1"/>
  <c r="K201" i="1"/>
  <c r="K178" i="1"/>
  <c r="K573" i="1"/>
  <c r="J501" i="1"/>
  <c r="K501" i="1" s="1"/>
  <c r="I54" i="1"/>
  <c r="I49" i="1"/>
  <c r="I254" i="1"/>
  <c r="I178" i="1"/>
  <c r="K456" i="1"/>
  <c r="J633" i="1"/>
  <c r="K633" i="1" s="1"/>
  <c r="K174" i="1"/>
  <c r="I316" i="1"/>
  <c r="I573" i="1"/>
  <c r="J519" i="1"/>
  <c r="K519" i="1" s="1"/>
  <c r="I240" i="1"/>
  <c r="K107" i="1"/>
  <c r="I629" i="1"/>
  <c r="I628" i="1"/>
  <c r="I626" i="1"/>
  <c r="I100" i="1"/>
  <c r="I372" i="1"/>
  <c r="I297" i="1"/>
  <c r="K210" i="1"/>
  <c r="K587" i="1"/>
  <c r="J639" i="1"/>
  <c r="K639" i="1" s="1"/>
  <c r="I387" i="1"/>
  <c r="I526" i="1"/>
  <c r="K45" i="1"/>
  <c r="K578" i="1"/>
  <c r="I516" i="1"/>
  <c r="I237" i="1"/>
  <c r="K566" i="1"/>
  <c r="K161" i="1"/>
  <c r="K330" i="1"/>
  <c r="K329" i="1"/>
  <c r="K319" i="1"/>
  <c r="K175" i="1"/>
  <c r="I239" i="1"/>
  <c r="I444" i="1"/>
  <c r="K35" i="1"/>
  <c r="I564" i="1"/>
  <c r="I32" i="1"/>
  <c r="I371" i="1"/>
  <c r="I330" i="1"/>
  <c r="I50" i="1"/>
  <c r="J327" i="1"/>
  <c r="K327" i="1" s="1"/>
  <c r="I181" i="1"/>
  <c r="J460" i="1"/>
  <c r="K460" i="1" s="1"/>
  <c r="K250" i="1"/>
  <c r="I457" i="1"/>
  <c r="K43" i="1"/>
  <c r="I572" i="1"/>
  <c r="K168" i="1"/>
  <c r="K509" i="1"/>
  <c r="J300" i="1"/>
  <c r="K300" i="1" s="1"/>
  <c r="I368" i="1"/>
  <c r="I607" i="1"/>
  <c r="J607" i="1"/>
  <c r="K607" i="1" s="1"/>
  <c r="I529" i="1"/>
  <c r="I388" i="1"/>
  <c r="I320" i="1"/>
  <c r="K318" i="1"/>
  <c r="I109" i="1"/>
  <c r="I243" i="1"/>
  <c r="I574" i="1"/>
  <c r="I241" i="1"/>
  <c r="I42" i="1"/>
  <c r="I378" i="1"/>
  <c r="I168" i="1"/>
  <c r="I511" i="1"/>
  <c r="I568" i="1"/>
  <c r="I567" i="1"/>
  <c r="K441" i="1"/>
  <c r="I439" i="1"/>
  <c r="I434" i="1"/>
  <c r="J434" i="1"/>
  <c r="K434" i="1" s="1"/>
  <c r="J492" i="1"/>
  <c r="K492" i="1" s="1"/>
  <c r="J602" i="1"/>
  <c r="K602" i="1" s="1"/>
  <c r="K247" i="1"/>
  <c r="K385" i="1"/>
  <c r="K506" i="1"/>
  <c r="I267" i="1"/>
  <c r="K267" i="1"/>
  <c r="K588" i="1"/>
  <c r="K259" i="1"/>
  <c r="I118" i="1"/>
  <c r="I252" i="1"/>
  <c r="I250" i="1"/>
  <c r="K525" i="1"/>
  <c r="K246" i="1"/>
  <c r="I630" i="1"/>
  <c r="I105" i="1"/>
  <c r="K101" i="1"/>
  <c r="K514" i="1"/>
  <c r="I98" i="1"/>
  <c r="I163" i="1"/>
  <c r="I506" i="1"/>
  <c r="I370" i="1"/>
  <c r="I503" i="1"/>
  <c r="I502" i="1"/>
  <c r="I618" i="1"/>
  <c r="K280" i="1"/>
  <c r="K339" i="1"/>
  <c r="K61" i="1"/>
  <c r="K637" i="1"/>
  <c r="K515" i="1"/>
  <c r="K298" i="1"/>
  <c r="I390" i="1"/>
  <c r="I51" i="1"/>
  <c r="I465" i="1"/>
  <c r="I637" i="1"/>
  <c r="I248" i="1"/>
  <c r="I582" i="1"/>
  <c r="I173" i="1"/>
  <c r="K382" i="1"/>
  <c r="J451" i="1"/>
  <c r="K451" i="1" s="1"/>
  <c r="I515" i="1"/>
  <c r="J445" i="1"/>
  <c r="K445" i="1" s="1"/>
  <c r="I38" i="1"/>
  <c r="K37" i="1"/>
  <c r="I565" i="1"/>
  <c r="I373" i="1"/>
  <c r="I233" i="1"/>
  <c r="I369" i="1"/>
  <c r="I619" i="1"/>
  <c r="K641" i="1"/>
  <c r="K251" i="1"/>
  <c r="K581" i="1"/>
  <c r="K523" i="1"/>
  <c r="I575" i="1"/>
  <c r="K104" i="1"/>
  <c r="K447" i="1"/>
  <c r="K627" i="1"/>
  <c r="K625" i="1"/>
  <c r="J3" i="1"/>
  <c r="K3" i="1" s="1"/>
  <c r="I641" i="1"/>
  <c r="I180" i="1"/>
  <c r="K524" i="1"/>
  <c r="K455" i="1"/>
  <c r="K244" i="1"/>
  <c r="K450" i="1"/>
  <c r="K376" i="1"/>
  <c r="K375" i="1"/>
  <c r="K623" i="1"/>
  <c r="K99" i="1"/>
  <c r="I34" i="1"/>
  <c r="I3" i="1"/>
  <c r="J119" i="1"/>
  <c r="K119" i="1" s="1"/>
  <c r="K631" i="1"/>
  <c r="K172" i="1"/>
  <c r="I244" i="1"/>
  <c r="K108" i="1"/>
  <c r="K313" i="1"/>
  <c r="I450" i="1"/>
  <c r="J379" i="1"/>
  <c r="K379" i="1" s="1"/>
  <c r="K170" i="1"/>
  <c r="K377" i="1"/>
  <c r="I37" i="1"/>
  <c r="I376" i="1"/>
  <c r="I99" i="1"/>
  <c r="I234" i="1"/>
  <c r="K367" i="1"/>
  <c r="K231" i="1"/>
  <c r="I438" i="1"/>
  <c r="K366" i="1"/>
  <c r="K13" i="1"/>
  <c r="I599" i="1"/>
  <c r="J599" i="1"/>
  <c r="K599" i="1" s="1"/>
  <c r="I614" i="1"/>
  <c r="I501" i="1"/>
  <c r="I363" i="1"/>
  <c r="I22" i="1"/>
  <c r="I289" i="1"/>
  <c r="K86" i="1"/>
  <c r="I148" i="1"/>
  <c r="K82" i="1"/>
  <c r="I215" i="1"/>
  <c r="K550" i="1"/>
  <c r="K78" i="1"/>
  <c r="J418" i="1"/>
  <c r="K418" i="1" s="1"/>
  <c r="I602" i="1"/>
  <c r="K208" i="1"/>
  <c r="I349" i="1"/>
  <c r="K136" i="1"/>
  <c r="I205" i="1"/>
  <c r="J133" i="1"/>
  <c r="K133" i="1" s="1"/>
  <c r="J402" i="1"/>
  <c r="K402" i="1" s="1"/>
  <c r="J538" i="1"/>
  <c r="K538" i="1" s="1"/>
  <c r="I61" i="1"/>
  <c r="K228" i="1"/>
  <c r="K560" i="1"/>
  <c r="K558" i="1"/>
  <c r="K432" i="1"/>
  <c r="I286" i="1"/>
  <c r="K359" i="1"/>
  <c r="K411" i="1"/>
  <c r="K410" i="1"/>
  <c r="I270" i="1"/>
  <c r="K360" i="1"/>
  <c r="I96" i="1"/>
  <c r="K227" i="1"/>
  <c r="I294" i="1"/>
  <c r="I500" i="1"/>
  <c r="I293" i="1"/>
  <c r="I292" i="1"/>
  <c r="K288" i="1"/>
  <c r="I357" i="1"/>
  <c r="K80" i="1"/>
  <c r="I546" i="1"/>
  <c r="I136" i="1"/>
  <c r="I600" i="1"/>
  <c r="I542" i="1"/>
  <c r="I343" i="1"/>
  <c r="K342" i="1"/>
  <c r="I130" i="1"/>
  <c r="K153" i="1"/>
  <c r="I220" i="1"/>
  <c r="K549" i="1"/>
  <c r="K68" i="1"/>
  <c r="I403" i="1"/>
  <c r="I128" i="1"/>
  <c r="K400" i="1"/>
  <c r="K615" i="1"/>
  <c r="I295" i="1"/>
  <c r="I27" i="1"/>
  <c r="K291" i="1"/>
  <c r="I557" i="1"/>
  <c r="I23" i="1"/>
  <c r="I362" i="1"/>
  <c r="I495" i="1"/>
  <c r="K93" i="1"/>
  <c r="K605" i="1"/>
  <c r="K281" i="1"/>
  <c r="I14" i="1"/>
  <c r="K276" i="1"/>
  <c r="I408" i="1"/>
  <c r="J202" i="1"/>
  <c r="K202" i="1" s="1"/>
  <c r="K129" i="1"/>
  <c r="J65" i="1"/>
  <c r="K65" i="1" s="1"/>
  <c r="I480" i="1"/>
  <c r="K497" i="1"/>
  <c r="I291" i="1"/>
  <c r="I604" i="1"/>
  <c r="I358" i="1"/>
  <c r="K20" i="1"/>
  <c r="I423" i="1"/>
  <c r="I17" i="1"/>
  <c r="K214" i="1"/>
  <c r="I79" i="1"/>
  <c r="I489" i="1"/>
  <c r="K488" i="1"/>
  <c r="K406" i="1"/>
  <c r="K338" i="1"/>
  <c r="K613" i="1"/>
  <c r="K361" i="1"/>
  <c r="I150" i="1"/>
  <c r="I20" i="1"/>
  <c r="K354" i="1"/>
  <c r="I138" i="1"/>
  <c r="K137" i="1"/>
  <c r="K73" i="1"/>
  <c r="J596" i="1"/>
  <c r="K596" i="1" s="1"/>
  <c r="I196" i="1"/>
  <c r="I95" i="1"/>
  <c r="I436" i="1"/>
  <c r="I613" i="1"/>
  <c r="K226" i="1"/>
  <c r="I225" i="1"/>
  <c r="I94" i="1"/>
  <c r="I156" i="1"/>
  <c r="J498" i="1"/>
  <c r="K498" i="1" s="1"/>
  <c r="I93" i="1"/>
  <c r="K92" i="1"/>
  <c r="I606" i="1"/>
  <c r="K152" i="1"/>
  <c r="I493" i="1"/>
  <c r="I428" i="1"/>
  <c r="I85" i="1"/>
  <c r="K213" i="1"/>
  <c r="J77" i="1"/>
  <c r="K77" i="1" s="1"/>
  <c r="K211" i="1"/>
  <c r="I73" i="1"/>
  <c r="I409" i="1"/>
  <c r="I9" i="1"/>
  <c r="I129" i="1"/>
  <c r="K2" i="1"/>
  <c r="K433" i="1"/>
  <c r="K223" i="1"/>
  <c r="K221" i="1"/>
  <c r="J426" i="1"/>
  <c r="K426" i="1" s="1"/>
  <c r="I216" i="1"/>
  <c r="I16" i="1"/>
  <c r="K420" i="1"/>
  <c r="I593" i="1"/>
  <c r="K499" i="1"/>
  <c r="I417" i="1"/>
  <c r="J72" i="1"/>
  <c r="K72" i="1" s="1"/>
  <c r="I7" i="1"/>
  <c r="K199" i="1"/>
  <c r="K296" i="1"/>
  <c r="K229" i="1"/>
  <c r="I437" i="1"/>
  <c r="I435" i="1"/>
  <c r="I612" i="1"/>
  <c r="I155" i="1"/>
  <c r="K24" i="1"/>
  <c r="I431" i="1"/>
  <c r="K356" i="1"/>
  <c r="I151" i="1"/>
  <c r="I420" i="1"/>
  <c r="J209" i="1"/>
  <c r="K209" i="1" s="1"/>
  <c r="K544" i="1"/>
  <c r="I346" i="1"/>
  <c r="K345" i="1"/>
  <c r="I10" i="1"/>
  <c r="I269" i="1"/>
  <c r="I404" i="1"/>
  <c r="J537" i="1"/>
  <c r="K537" i="1" s="1"/>
  <c r="I74" i="1"/>
  <c r="K274" i="1"/>
  <c r="K484" i="1"/>
  <c r="K335" i="1"/>
  <c r="K160" i="1"/>
  <c r="I28" i="1"/>
  <c r="I559" i="1"/>
  <c r="I499" i="1"/>
  <c r="I554" i="1"/>
  <c r="I90" i="1"/>
  <c r="I88" i="1"/>
  <c r="I553" i="1"/>
  <c r="K87" i="1"/>
  <c r="I491" i="1"/>
  <c r="I219" i="1"/>
  <c r="I135" i="1"/>
  <c r="K64" i="1"/>
  <c r="K401" i="1"/>
  <c r="I336" i="1"/>
  <c r="I160" i="1"/>
  <c r="I610" i="1"/>
  <c r="K26" i="1"/>
  <c r="K608" i="1"/>
  <c r="K287" i="1"/>
  <c r="I494" i="1"/>
  <c r="I87" i="1"/>
  <c r="I19" i="1"/>
  <c r="I421" i="1"/>
  <c r="K71" i="1"/>
  <c r="K272" i="1"/>
  <c r="K132" i="1"/>
  <c r="I6" i="1"/>
  <c r="K391" i="1"/>
  <c r="K529" i="1"/>
  <c r="K183" i="1"/>
  <c r="K116" i="1"/>
  <c r="J195" i="1"/>
  <c r="K195" i="1" s="1"/>
  <c r="J590" i="1"/>
  <c r="K590" i="1" s="1"/>
  <c r="J263" i="1"/>
  <c r="K263" i="1" s="1"/>
  <c r="J189" i="1"/>
  <c r="K189" i="1" s="1"/>
  <c r="K331" i="1"/>
  <c r="K328" i="1"/>
  <c r="K463" i="1"/>
  <c r="K638" i="1"/>
  <c r="K57" i="1"/>
  <c r="K120" i="1"/>
  <c r="K50" i="1"/>
  <c r="K464" i="1"/>
  <c r="K586" i="1"/>
  <c r="J113" i="1"/>
  <c r="K113" i="1" s="1"/>
  <c r="K536" i="1"/>
  <c r="K399" i="1"/>
  <c r="K193" i="1"/>
  <c r="K395" i="1"/>
  <c r="K473" i="1"/>
  <c r="K532" i="1"/>
  <c r="K51" i="1"/>
  <c r="K388" i="1"/>
  <c r="K640" i="1"/>
  <c r="I115" i="1"/>
  <c r="K333" i="1"/>
  <c r="K332" i="1"/>
  <c r="K474" i="1"/>
  <c r="K181" i="1"/>
  <c r="K526" i="1"/>
  <c r="J592" i="1"/>
  <c r="K592" i="1" s="1"/>
  <c r="K124" i="1"/>
  <c r="K58" i="1"/>
  <c r="J54" i="1"/>
  <c r="K54" i="1" s="1"/>
  <c r="J187" i="1"/>
  <c r="K187" i="1" s="1"/>
  <c r="J465" i="1"/>
  <c r="K465" i="1" s="1"/>
  <c r="K252" i="1"/>
  <c r="J461" i="1"/>
  <c r="K461" i="1" s="1"/>
  <c r="K528" i="1"/>
  <c r="J323" i="1"/>
  <c r="K323" i="1" s="1"/>
  <c r="K114" i="1"/>
  <c r="J478" i="1"/>
  <c r="K478" i="1" s="1"/>
  <c r="J396" i="1"/>
  <c r="K396" i="1" s="1"/>
  <c r="J321" i="1"/>
  <c r="K321" i="1" s="1"/>
  <c r="K118" i="1"/>
  <c r="K398" i="1"/>
  <c r="K534" i="1"/>
  <c r="K645" i="1"/>
  <c r="K393" i="1"/>
  <c r="K326" i="1"/>
  <c r="K47" i="1"/>
  <c r="K479" i="1"/>
  <c r="K648" i="1"/>
  <c r="K190" i="1"/>
  <c r="K55" i="1"/>
  <c r="K390" i="1"/>
  <c r="K257" i="1"/>
  <c r="K254" i="1"/>
  <c r="K194" i="1"/>
  <c r="K397" i="1"/>
  <c r="K191" i="1"/>
  <c r="K188" i="1"/>
  <c r="K52" i="1"/>
  <c r="K466" i="1"/>
  <c r="K182" i="1"/>
  <c r="K585" i="1"/>
  <c r="J179" i="1"/>
  <c r="K179" i="1" s="1"/>
  <c r="K180" i="1"/>
  <c r="I249" i="1"/>
  <c r="I172" i="1"/>
  <c r="I518" i="1"/>
  <c r="I374" i="1"/>
  <c r="I621" i="1"/>
  <c r="J97" i="1"/>
  <c r="K97" i="1" s="1"/>
  <c r="I97" i="1"/>
  <c r="J105" i="1"/>
  <c r="K105" i="1" s="1"/>
  <c r="K169" i="1"/>
  <c r="K306" i="1"/>
  <c r="K624" i="1"/>
  <c r="K33" i="1"/>
  <c r="J320" i="1"/>
  <c r="K320" i="1" s="1"/>
  <c r="J582" i="1"/>
  <c r="K582" i="1" s="1"/>
  <c r="J453" i="1"/>
  <c r="K453" i="1" s="1"/>
  <c r="J576" i="1"/>
  <c r="K576" i="1" s="1"/>
  <c r="J242" i="1"/>
  <c r="K242" i="1" s="1"/>
  <c r="J629" i="1"/>
  <c r="K629" i="1" s="1"/>
  <c r="K302" i="1"/>
  <c r="J234" i="1"/>
  <c r="K234" i="1" s="1"/>
  <c r="K165" i="1"/>
  <c r="K443" i="1"/>
  <c r="J34" i="1"/>
  <c r="K34" i="1" s="1"/>
  <c r="K245" i="1"/>
  <c r="K583" i="1"/>
  <c r="K317" i="1"/>
  <c r="K309" i="1"/>
  <c r="K516" i="1"/>
  <c r="K171" i="1"/>
  <c r="K304" i="1"/>
  <c r="I302" i="1"/>
  <c r="J111" i="1"/>
  <c r="K111" i="1" s="1"/>
  <c r="J315" i="1"/>
  <c r="K315" i="1" s="1"/>
  <c r="J42" i="1"/>
  <c r="K42" i="1" s="1"/>
  <c r="K301" i="1"/>
  <c r="J98" i="1"/>
  <c r="K98" i="1" s="1"/>
  <c r="K235" i="1"/>
  <c r="J248" i="1"/>
  <c r="K248" i="1" s="1"/>
  <c r="J241" i="1"/>
  <c r="K241" i="1" s="1"/>
  <c r="J449" i="1"/>
  <c r="K449" i="1" s="1"/>
  <c r="K510" i="1"/>
  <c r="I301" i="1"/>
  <c r="K457" i="1"/>
  <c r="K579" i="1"/>
  <c r="K386" i="1"/>
  <c r="K316" i="1"/>
  <c r="K383" i="1"/>
  <c r="K310" i="1"/>
  <c r="K571" i="1"/>
  <c r="K626" i="1"/>
  <c r="K38" i="1"/>
  <c r="K100" i="1"/>
  <c r="K249" i="1"/>
  <c r="K580" i="1"/>
  <c r="K452" i="1"/>
  <c r="K630" i="1"/>
  <c r="K517" i="1"/>
  <c r="K380" i="1"/>
  <c r="K307" i="1"/>
  <c r="K102" i="1"/>
  <c r="K513" i="1"/>
  <c r="K568" i="1"/>
  <c r="K622" i="1"/>
  <c r="J32" i="1"/>
  <c r="K32" i="1" s="1"/>
  <c r="J427" i="1"/>
  <c r="K427" i="1" s="1"/>
  <c r="J149" i="1"/>
  <c r="K149" i="1" s="1"/>
  <c r="I407" i="1"/>
  <c r="K407" i="1"/>
  <c r="K429" i="1"/>
  <c r="I153" i="1"/>
  <c r="I427" i="1"/>
  <c r="I149" i="1"/>
  <c r="K440" i="1"/>
  <c r="K561" i="1"/>
  <c r="K365" i="1"/>
  <c r="K559" i="1"/>
  <c r="K609" i="1"/>
  <c r="K495" i="1"/>
  <c r="K89" i="1"/>
  <c r="J268" i="1"/>
  <c r="K268" i="1" s="1"/>
  <c r="K290" i="1"/>
  <c r="K430" i="1"/>
  <c r="K606" i="1"/>
  <c r="K357" i="1"/>
  <c r="K130" i="1"/>
  <c r="I268" i="1"/>
  <c r="J372" i="1"/>
  <c r="K372" i="1" s="1"/>
  <c r="J619" i="1"/>
  <c r="K619" i="1" s="1"/>
  <c r="J95" i="1"/>
  <c r="K95" i="1" s="1"/>
  <c r="J500" i="1"/>
  <c r="K500" i="1" s="1"/>
  <c r="K289" i="1"/>
  <c r="K90" i="1"/>
  <c r="K358" i="1"/>
  <c r="J147" i="1"/>
  <c r="K147" i="1" s="1"/>
  <c r="I350" i="1"/>
  <c r="J350" i="1"/>
  <c r="K350" i="1" s="1"/>
  <c r="J408" i="1"/>
  <c r="K408" i="1" s="1"/>
  <c r="K126" i="1"/>
  <c r="K563" i="1"/>
  <c r="K368" i="1"/>
  <c r="K96" i="1"/>
  <c r="K28" i="1"/>
  <c r="K610" i="1"/>
  <c r="K155" i="1"/>
  <c r="K555" i="1"/>
  <c r="K91" i="1"/>
  <c r="K19" i="1"/>
  <c r="I540" i="1"/>
  <c r="K540" i="1"/>
  <c r="K151" i="1"/>
  <c r="I352" i="1"/>
  <c r="K352" i="1"/>
  <c r="K163" i="1"/>
  <c r="K504" i="1"/>
  <c r="K618" i="1"/>
  <c r="K436" i="1"/>
  <c r="K493" i="1"/>
  <c r="K148" i="1"/>
  <c r="I218" i="1"/>
  <c r="K218" i="1"/>
  <c r="I490" i="1"/>
  <c r="K490" i="1"/>
  <c r="I275" i="1"/>
  <c r="K275" i="1"/>
  <c r="I595" i="1"/>
  <c r="K595" i="1"/>
  <c r="K346" i="1"/>
  <c r="I282" i="1"/>
  <c r="K282" i="1"/>
  <c r="J5" i="1"/>
  <c r="K5" i="1" s="1"/>
  <c r="J594" i="1"/>
  <c r="K594" i="1" s="1"/>
  <c r="K162" i="1"/>
  <c r="J285" i="1"/>
  <c r="K285" i="1" s="1"/>
  <c r="I83" i="1"/>
  <c r="J83" i="1"/>
  <c r="K83" i="1" s="1"/>
  <c r="I486" i="1"/>
  <c r="K486" i="1"/>
  <c r="K612" i="1"/>
  <c r="K156" i="1"/>
  <c r="K362" i="1"/>
  <c r="K21" i="1"/>
  <c r="K553" i="1"/>
  <c r="K84" i="1"/>
  <c r="K491" i="1"/>
  <c r="I284" i="1"/>
  <c r="J284" i="1"/>
  <c r="K284" i="1" s="1"/>
  <c r="I422" i="1"/>
  <c r="J422" i="1"/>
  <c r="K422" i="1" s="1"/>
  <c r="I140" i="1"/>
  <c r="J140" i="1"/>
  <c r="K140" i="1" s="1"/>
  <c r="J31" i="1"/>
  <c r="K31" i="1" s="1"/>
  <c r="J438" i="1"/>
  <c r="K438" i="1" s="1"/>
  <c r="J437" i="1"/>
  <c r="K437" i="1" s="1"/>
  <c r="K25" i="1"/>
  <c r="K496" i="1"/>
  <c r="K154" i="1"/>
  <c r="K286" i="1"/>
  <c r="J415" i="1"/>
  <c r="K415" i="1" s="1"/>
  <c r="K482" i="1"/>
  <c r="K220" i="1"/>
  <c r="I548" i="1"/>
  <c r="J548" i="1"/>
  <c r="K548" i="1" s="1"/>
  <c r="J425" i="1"/>
  <c r="K425" i="1" s="1"/>
  <c r="K424" i="1"/>
  <c r="J543" i="1"/>
  <c r="K543" i="1" s="1"/>
  <c r="I545" i="1"/>
  <c r="K545" i="1"/>
  <c r="I543" i="1"/>
  <c r="K206" i="1"/>
  <c r="K6" i="1"/>
  <c r="K340" i="1"/>
  <c r="I482" i="1"/>
  <c r="I126" i="1"/>
  <c r="J353" i="1"/>
  <c r="K353" i="1" s="1"/>
  <c r="J142" i="1"/>
  <c r="K142" i="1" s="1"/>
  <c r="J351" i="1"/>
  <c r="K351" i="1" s="1"/>
  <c r="K416" i="1"/>
  <c r="J11" i="1"/>
  <c r="K11" i="1" s="1"/>
  <c r="J9" i="1"/>
  <c r="K9" i="1" s="1"/>
  <c r="J128" i="1"/>
  <c r="K128" i="1" s="1"/>
  <c r="K17" i="1"/>
  <c r="K489" i="1"/>
  <c r="K212" i="1"/>
  <c r="K75" i="1"/>
  <c r="K74" i="1"/>
  <c r="K347" i="1"/>
  <c r="K344" i="1"/>
  <c r="K7" i="1"/>
  <c r="K270" i="1"/>
  <c r="K597" i="1"/>
  <c r="K539" i="1"/>
  <c r="K216" i="1"/>
  <c r="K16" i="1"/>
  <c r="K547" i="1"/>
  <c r="K14" i="1"/>
  <c r="K70" i="1"/>
  <c r="K8" i="1"/>
  <c r="K67" i="1"/>
  <c r="K4" i="1"/>
  <c r="K197" i="1"/>
  <c r="J349" i="1"/>
  <c r="K349" i="1" s="1"/>
  <c r="J135" i="1"/>
  <c r="K135" i="1" s="1"/>
  <c r="K413" i="1"/>
  <c r="K337" i="1"/>
  <c r="K273" i="1"/>
  <c r="K131" i="1"/>
  <c r="K341" i="1"/>
  <c r="K198" i="1"/>
  <c r="K6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7C20BF-B0CD-4ACC-94E5-93B54D2F19A2}" keepAlive="1" name="Query - MT" description="Connection to the 'MT' query in the workbook." type="5" refreshedVersion="8" background="1" saveData="1">
    <dbPr connection="Provider=Microsoft.Mashup.OleDb.1;Data Source=$Workbook$;Location=MT;Extended Properties=&quot;&quot;" command="SELECT * FROM [MT]"/>
  </connection>
  <connection id="2" xr16:uid="{FF0272D4-EE08-4C35-BE4A-66A2FC70CBFD}" keepAlive="1" name="Query - MT1" description="Connection to the 'MT1' query in the workbook." type="5" refreshedVersion="8" background="1" saveData="1">
    <dbPr connection="Provider=Microsoft.Mashup.OleDb.1;Data Source=$Workbook$;Location=MT1;Extended Properties=&quot;&quot;" command="SELECT * FROM [MT1]"/>
  </connection>
  <connection id="3" xr16:uid="{0201F23E-5AE7-4711-9BA8-58CA586D59E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5F87ECDA-23FC-465F-BAA7-857F217B946D}" name="WorksheetConnection_Project_01_Sales Perfomance Analysis for a retail Chain.xlsm!MT1_" type="102" refreshedVersion="8" minRefreshableVersion="5">
    <extLst>
      <ext xmlns:x15="http://schemas.microsoft.com/office/spreadsheetml/2010/11/main" uri="{DE250136-89BD-433C-8126-D09CA5730AF9}">
        <x15:connection id="MT1_" autoDelete="1">
          <x15:rangePr sourceName="_xlcn.WorksheetConnection_Project_01_SalesPerfomanceAnalysisforaretailChain.xlsmMT1_1"/>
        </x15:connection>
      </ext>
    </extLst>
  </connection>
  <connection id="5" xr16:uid="{77A51D4B-F493-44BF-96AF-D18ECDECCD71}" name="WorksheetConnection_Project_01_Sales Perfomance Analysis for a retail Chain.xlsm!Table2" type="102" refreshedVersion="8" minRefreshableVersion="5">
    <extLst>
      <ext xmlns:x15="http://schemas.microsoft.com/office/spreadsheetml/2010/11/main" uri="{DE250136-89BD-433C-8126-D09CA5730AF9}">
        <x15:connection id="Table2">
          <x15:rangePr sourceName="_xlcn.WorksheetConnection_Project_01_SalesPerfomanceAnalysisforaretailChain.xlsmTable2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<sst xmlns="http://schemas.openxmlformats.org/spreadsheetml/2006/main" count="2714" uniqueCount="47">
  <si>
    <t>Order ID</t>
  </si>
  <si>
    <t>Date</t>
  </si>
  <si>
    <t>Store</t>
  </si>
  <si>
    <t>City</t>
  </si>
  <si>
    <t>Product Category</t>
  </si>
  <si>
    <t>Product Name</t>
  </si>
  <si>
    <t>Units Sold</t>
  </si>
  <si>
    <t>Unit Price</t>
  </si>
  <si>
    <t>Total Sales</t>
  </si>
  <si>
    <t>Cost per Unit</t>
  </si>
  <si>
    <t>Profit</t>
  </si>
  <si>
    <t>S001</t>
  </si>
  <si>
    <t>Mumbai</t>
  </si>
  <si>
    <t>Electronics</t>
  </si>
  <si>
    <t>Smartphone</t>
  </si>
  <si>
    <t>S002</t>
  </si>
  <si>
    <t>Delhi</t>
  </si>
  <si>
    <t>Groceries</t>
  </si>
  <si>
    <t>Rice 5kg</t>
  </si>
  <si>
    <t>S003</t>
  </si>
  <si>
    <t>S004</t>
  </si>
  <si>
    <t>S005</t>
  </si>
  <si>
    <t>Category</t>
  </si>
  <si>
    <t>Laptop</t>
  </si>
  <si>
    <t>Cooking Oil 1L</t>
  </si>
  <si>
    <t>Furniture</t>
  </si>
  <si>
    <t>Office Chair</t>
  </si>
  <si>
    <t>Table</t>
  </si>
  <si>
    <t>Clothing</t>
  </si>
  <si>
    <t>T-shirt</t>
  </si>
  <si>
    <t>Stationery</t>
  </si>
  <si>
    <t>Notebook</t>
  </si>
  <si>
    <t>Chennai</t>
  </si>
  <si>
    <t>Ahmedabad</t>
  </si>
  <si>
    <t>Bangalore</t>
  </si>
  <si>
    <t>Desk Lamp</t>
  </si>
  <si>
    <t>Shampoo</t>
  </si>
  <si>
    <t>Row Labels</t>
  </si>
  <si>
    <t>Grand Total</t>
  </si>
  <si>
    <t>Sum of Total Sales</t>
  </si>
  <si>
    <t>Sum of Profit</t>
  </si>
  <si>
    <t>Column Labels</t>
  </si>
  <si>
    <t>Jan</t>
  </si>
  <si>
    <t>Feb</t>
  </si>
  <si>
    <t>Mar</t>
  </si>
  <si>
    <t>Profit Margin</t>
  </si>
  <si>
    <t>Sum of 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</si>
</sst>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quot;₹&quot;\ * #,##0.00_ ;_ &quot;₹&quot;\ * \-#,##0.00_ ;_ &quot;₹&quot;\ * &quot;-&quot;??_ ;_ @_ "/>
    <numFmt numFmtId="164" formatCode="&quot;₹&quot;\ #,##0.00"/>
  </numFmts>
  <fonts count="7" x14ac:knownFonts="1">
    <font>
      <sz val="11"/>
      <color theme="1"/>
      <name val="Aptos Narrow"/>
      <family val="2"/>
      <scheme val="minor"/>
    </font>
    <font>
      <b/>
      <sz val="11"/>
      <color theme="1"/>
      <name val="Aptos Narrow"/>
      <family val="2"/>
      <scheme val="minor"/>
    </font>
    <font>
      <sz val="8"/>
      <name val="Aptos Narrow"/>
      <family val="2"/>
      <scheme val="minor"/>
    </font>
    <font>
      <b/>
      <sz val="12"/>
      <color theme="1"/>
      <name val="Aptos Narrow"/>
      <family val="2"/>
      <scheme val="minor"/>
    </font>
    <font>
      <sz val="12"/>
      <color theme="1"/>
      <name val="Aptos Narrow"/>
      <family val="2"/>
      <scheme val="minor"/>
    </font>
    <font>
      <sz val="11"/>
      <color rgb="FFFFC000"/>
      <name val="Aptos Narrow"/>
      <family val="2"/>
      <scheme val="minor"/>
    </font>
    <font>
      <sz val="18"/>
      <color rgb="FFFFC000"/>
      <name val="Aptos Narrow"/>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rgb="FF0F0349"/>
        <bgColor indexed="64"/>
      </patternFill>
    </fill>
  </fills>
  <borders count="1">
    <border>
      <left/>
      <right/>
      <top/>
      <bottom/>
      <diagonal/>
    </border>
  </borders>
  <cellStyleXfs count="1">
    <xf numFmtId="0" fontId="0" fillId="0" borderId="0"/>
  </cellStyleXfs>
  <cellXfs count="39">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14" fontId="0" fillId="0" borderId="0" xfId="0" applyNumberFormat="1"/>
    <xf numFmtId="0" fontId="3" fillId="0" borderId="0" xfId="0" applyFont="1" applyAlignment="1">
      <alignment horizontal="center" vertical="center" wrapText="1"/>
    </xf>
    <xf numFmtId="0" fontId="3" fillId="0" borderId="0" xfId="0" applyFont="1" applyAlignment="1">
      <alignment horizontal="center" vertical="center"/>
    </xf>
    <xf numFmtId="14" fontId="3" fillId="0" borderId="0" xfId="0" applyNumberFormat="1" applyFont="1" applyAlignment="1">
      <alignment horizontal="center" vertical="center"/>
    </xf>
    <xf numFmtId="0" fontId="4" fillId="0" borderId="0" xfId="0" applyFont="1" applyAlignment="1">
      <alignment horizontal="center" vertical="center" wrapText="1"/>
    </xf>
    <xf numFmtId="1" fontId="3" fillId="0" borderId="0" xfId="0" applyNumberFormat="1" applyFont="1" applyAlignment="1">
      <alignment horizontal="center" vertical="center"/>
    </xf>
    <xf numFmtId="1" fontId="0" fillId="0" borderId="0" xfId="0" applyNumberFormat="1"/>
    <xf numFmtId="164" fontId="3" fillId="0" borderId="0" xfId="0" applyNumberFormat="1" applyFont="1" applyAlignment="1">
      <alignment horizontal="center" vertical="center"/>
    </xf>
    <xf numFmtId="164" fontId="0" fillId="0" borderId="0" xfId="0" applyNumberFormat="1"/>
    <xf numFmtId="44" fontId="3" fillId="0" borderId="0" xfId="0" applyNumberFormat="1" applyFont="1" applyAlignment="1">
      <alignment horizontal="center" vertical="center"/>
    </xf>
    <xf numFmtId="44" fontId="0" fillId="0" borderId="0" xfId="0" applyNumberFormat="1"/>
    <xf numFmtId="14" fontId="4" fillId="0" borderId="0" xfId="0" applyNumberFormat="1" applyFont="1" applyAlignment="1">
      <alignment horizontal="center" vertical="center"/>
    </xf>
    <xf numFmtId="1" fontId="4" fillId="0" borderId="0" xfId="0" applyNumberFormat="1" applyFont="1" applyAlignment="1">
      <alignment horizontal="center" vertical="center"/>
    </xf>
    <xf numFmtId="0" fontId="1" fillId="0" borderId="0" xfId="0" applyFont="1" applyAlignment="1">
      <alignment horizontal="center" vertical="center"/>
    </xf>
    <xf numFmtId="49" fontId="3" fillId="0" borderId="0" xfId="0" applyNumberFormat="1" applyFont="1" applyAlignment="1">
      <alignment horizontal="center" vertical="center"/>
    </xf>
    <xf numFmtId="49" fontId="4" fillId="0" borderId="0" xfId="0" applyNumberFormat="1" applyFont="1" applyAlignment="1">
      <alignment horizontal="center" vertical="center"/>
    </xf>
    <xf numFmtId="49" fontId="0" fillId="0" borderId="0" xfId="0" applyNumberFormat="1"/>
    <xf numFmtId="164" fontId="4" fillId="0" borderId="0" xfId="0" applyNumberFormat="1" applyFont="1" applyAlignment="1">
      <alignment horizontal="center" vertical="center"/>
    </xf>
    <xf numFmtId="44" fontId="4" fillId="0" borderId="0" xfId="0" applyNumberFormat="1" applyFont="1" applyAlignment="1">
      <alignment horizontal="center" vertical="center"/>
    </xf>
    <xf numFmtId="0" fontId="0" fillId="0" borderId="0" xfId="0" pivotButton="1"/>
    <xf numFmtId="0" fontId="0" fillId="0" borderId="0" xfId="0" applyAlignment="1">
      <alignment horizontal="left"/>
    </xf>
    <xf numFmtId="0" fontId="4" fillId="0" borderId="0" xfId="0" pivotButton="1" applyFont="1"/>
    <xf numFmtId="0" fontId="4" fillId="0" borderId="0" xfId="0" applyFont="1"/>
    <xf numFmtId="0" fontId="4" fillId="0" borderId="0" xfId="0" applyFont="1" applyAlignment="1">
      <alignment horizontal="left"/>
    </xf>
    <xf numFmtId="0" fontId="0" fillId="2" borderId="0" xfId="0" applyFill="1" applyAlignment="1">
      <alignment horizontal="left"/>
    </xf>
    <xf numFmtId="0" fontId="0" fillId="2" borderId="0" xfId="0" applyFill="1"/>
    <xf numFmtId="10" fontId="3" fillId="0" borderId="0" xfId="0" applyNumberFormat="1" applyFont="1" applyAlignment="1">
      <alignment horizontal="center" vertical="center"/>
    </xf>
    <xf numFmtId="10" fontId="4" fillId="0" borderId="0" xfId="0" applyNumberFormat="1" applyFont="1" applyAlignment="1">
      <alignment horizontal="center" vertical="center"/>
    </xf>
    <xf numFmtId="10" fontId="0" fillId="0" borderId="0" xfId="0" applyNumberFormat="1"/>
    <xf numFmtId="0" fontId="0" fillId="0" borderId="0" xfId="0" applyNumberFormat="1"/>
    <xf numFmtId="0" fontId="0" fillId="2" borderId="0" xfId="0" applyNumberFormat="1" applyFill="1"/>
    <xf numFmtId="0" fontId="4" fillId="0" borderId="0" xfId="0" applyNumberFormat="1" applyFont="1"/>
    <xf numFmtId="0" fontId="0" fillId="3" borderId="0" xfId="0" applyFill="1"/>
    <xf numFmtId="0" fontId="0" fillId="3" borderId="0" xfId="0" applyFill="1" applyBorder="1"/>
    <xf numFmtId="0" fontId="5" fillId="3" borderId="0" xfId="0" applyFont="1" applyFill="1" applyBorder="1"/>
    <xf numFmtId="44" fontId="6" fillId="3" borderId="0" xfId="0" applyNumberFormat="1" applyFont="1" applyFill="1" applyBorder="1"/>
  </cellXfs>
  <cellStyles count="1">
    <cellStyle name="Normal" xfId="0" builtinId="0"/>
  </cellStyles>
  <dxfs count="40">
    <dxf>
      <font>
        <b/>
        <i val="0"/>
        <strike val="0"/>
        <condense val="0"/>
        <extend val="0"/>
        <outline val="0"/>
        <shadow val="0"/>
        <u val="none"/>
        <vertAlign val="baseline"/>
        <sz val="12"/>
        <color theme="1"/>
        <name val="Aptos Narrow"/>
        <family val="2"/>
        <scheme val="minor"/>
      </font>
      <numFmt numFmtId="34" formatCode="_ &quot;₹&quot;\ * #,##0.00_ ;_ &quot;₹&quot;\ * \-#,##0.00_ ;_ &quot;₹&quot;\ * &quot;-&quot;??_ ;_ @_ "/>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164" formatCode="&quot;₹&quot;\ #,##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164" formatCode="&quot;₹&quot;\ #,##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164" formatCode="&quot;₹&quot;\ #,##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19" formatCode="dd/mm/yyyy"/>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z val="12"/>
      </font>
    </dxf>
    <dxf>
      <font>
        <sz val="12"/>
      </font>
    </dxf>
    <dxf>
      <font>
        <sz val="12"/>
      </font>
    </dxf>
    <dxf>
      <font>
        <sz val="12"/>
      </font>
    </dxf>
    <dxf>
      <font>
        <sz val="12"/>
      </font>
    </dxf>
    <dxf>
      <font>
        <sz val="12"/>
      </font>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ont>
        <strike val="0"/>
        <outline val="0"/>
        <shadow val="0"/>
        <u val="none"/>
        <vertAlign val="baseline"/>
        <sz val="12"/>
        <color theme="1"/>
        <name val="Aptos Narrow"/>
        <family val="2"/>
        <scheme val="minor"/>
      </font>
      <numFmt numFmtId="14" formatCode="0.00%"/>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4" formatCode="_ &quot;₹&quot;\ * #,##0.00_ ;_ &quot;₹&quot;\ * \-#,##0.00_ ;_ &quot;₹&quot;\ * &quot;-&quot;??_ ;_ @_ "/>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4" formatCode="_ &quot;₹&quot;\ * #,##0.00_ ;_ &quot;₹&quot;\ * \-#,##0.00_ ;_ &quot;₹&quot;\ * &quot;-&quot;??_ ;_ @_ "/>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4" formatCode="_ &quot;₹&quot;\ * #,##0.00_ ;_ &quot;₹&quot;\ * \-#,##0.00_ ;_ &quot;₹&quot;\ * &quot;-&quot;??_ ;_ @_ "/>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164" formatCode="&quot;₹&quot;\ #,##0.00"/>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0" formatCode="@"/>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0" formatCode="@"/>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0" formatCode="@"/>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30" formatCode="@"/>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19" formatCode="dd/mm/yyyy"/>
      <alignment horizontal="center" vertical="center" textRotation="0" wrapText="0" indent="0" justifyLastLine="0" shrinkToFit="0" readingOrder="0"/>
    </dxf>
    <dxf>
      <font>
        <strike val="0"/>
        <outline val="0"/>
        <shadow val="0"/>
        <u val="none"/>
        <vertAlign val="baseline"/>
        <sz val="12"/>
        <color theme="1"/>
        <name val="Aptos Narrow"/>
        <family val="2"/>
        <scheme val="minor"/>
      </font>
      <numFmt numFmtId="1" formatCode="0"/>
      <alignment horizontal="center" vertical="center" textRotation="0" wrapText="0" indent="0" justifyLastLine="0" shrinkToFit="0" readingOrder="0"/>
    </dxf>
    <dxf>
      <font>
        <strike val="0"/>
        <outline val="0"/>
        <shadow val="0"/>
        <u val="none"/>
        <vertAlign val="baseline"/>
        <sz val="12"/>
        <color theme="1"/>
        <name val="Aptos Narrow"/>
        <family val="2"/>
        <scheme val="minor"/>
      </font>
      <alignment horizontal="center" vertical="center" textRotation="0" wrapText="0" indent="0" justifyLastLine="0" shrinkToFit="0" readingOrder="0"/>
    </dxf>
    <dxf>
      <font>
        <b/>
        <strike val="0"/>
        <outline val="0"/>
        <shadow val="0"/>
        <u val="none"/>
        <vertAlign val="baseline"/>
        <sz val="12"/>
        <color theme="1"/>
        <name val="Aptos Narrow"/>
        <family val="2"/>
        <scheme val="minor"/>
      </font>
      <alignment horizontal="center" vertical="center" textRotation="0" wrapText="0" indent="0" justifyLastLine="0" shrinkToFit="0" readingOrder="0"/>
    </dxf>
    <dxf>
      <fill>
        <patternFill patternType="solid">
          <bgColor theme="5" tint="0.39997558519241921"/>
        </patternFill>
      </fill>
    </dxf>
    <dxf>
      <fill>
        <patternFill patternType="solid">
          <bgColor theme="5" tint="0.39997558519241921"/>
        </patternFill>
      </fill>
    </dxf>
  </dxfs>
  <tableStyles count="0" defaultTableStyle="TableStyleMedium2" defaultPivotStyle="PivotStyleLight16"/>
  <colors>
    <mruColors>
      <color rgb="FF0F0349"/>
      <color rgb="FFDC57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styles" Target="styles.xml"/><Relationship Id="rId3" Type="http://schemas.openxmlformats.org/officeDocument/2006/relationships/worksheet" Target="worksheets/sheet2.xml"/><Relationship Id="rId21" Type="http://schemas.microsoft.com/office/2007/relationships/slicerCache" Target="slicerCaches/slicerCache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openxmlformats.org/officeDocument/2006/relationships/connections" Target="connections.xml"/><Relationship Id="rId2" Type="http://schemas.openxmlformats.org/officeDocument/2006/relationships/worksheet" Target="worksheets/sheet1.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openxmlformats.org/officeDocument/2006/relationships/powerPivotData" Target="model/item.data"/><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pivotCacheDefinition" Target="pivotCache/pivotCacheDefinition3.xml"/><Relationship Id="rId23" Type="http://schemas.microsoft.com/office/2007/relationships/slicerCache" Target="slicerCaches/slicerCache3.xml"/><Relationship Id="rId28" Type="http://schemas.openxmlformats.org/officeDocument/2006/relationships/sheetMetadata" Target="metadata.xml"/><Relationship Id="rId10" Type="http://schemas.openxmlformats.org/officeDocument/2006/relationships/worksheet" Target="worksheets/sheet9.xml"/><Relationship Id="rId19" Type="http://schemas.openxmlformats.org/officeDocument/2006/relationships/pivotCacheDefinition" Target="pivotCache/pivotCacheDefinition7.xml"/><Relationship Id="rId31" Type="http://schemas.openxmlformats.org/officeDocument/2006/relationships/customXml" Target="../customXml/item1.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pivotCacheDefinition" Target="pivotCache/pivotCacheDefinition2.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801165840"/>
        <c:axId val="1801182640"/>
      </c:barChart>
      <c:catAx>
        <c:axId val="1801165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182640"/>
        <c:crosses val="autoZero"/>
        <c:auto val="1"/>
        <c:lblAlgn val="ctr"/>
        <c:lblOffset val="100"/>
        <c:noMultiLvlLbl val="0"/>
      </c:catAx>
      <c:valAx>
        <c:axId val="1801182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165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[Project_01_Sales Perfomance Analysis for a retail Chain.xlsm]Total Sales by Product Category!PivotTable1</c:name>
    <c:fmtId val="6"/>
  </c:pivotSource>
  <c:chart>
    <c:title>
      <c:tx>
        <c:rich>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r>
              <a:rPr lang="en-IN"/>
              <a:t>Total Sales by Product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48381452318458"/>
          <c:y val="0.20772929425488482"/>
          <c:w val="0.74003915135608045"/>
          <c:h val="0.53253536016331293"/>
        </c:manualLayout>
      </c:layout>
      <c:barChart>
        <c:barDir val="col"/>
        <c:grouping val="clustered"/>
        <c:varyColors val="0"/>
        <c:ser>
          <c:idx val="0"/>
          <c:order val="0"/>
          <c:tx>
            <c:strRef>
              <c:f>'Total Sales by Product Category'!$B$3</c:f>
              <c:strCache>
                <c:ptCount val="1"/>
                <c:pt idx="0">
                  <c:v>Sum of 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'Total Sales by Product Category'!$A$4:$A$9</c:f>
              <c:strCache>
                <c:ptCount val="5"/>
                <c:pt idx="0">
                  <c:v>Clothing</c:v>
                </c:pt>
                <c:pt idx="1">
                  <c:v>Electronics</c:v>
                </c:pt>
                <c:pt idx="2">
                  <c:v>Furniture</c:v>
                </c:pt>
                <c:pt idx="3">
                  <c:v>Groceries</c:v>
                </c:pt>
                <c:pt idx="4">
                  <c:v>Stationery</c:v>
                </c:pt>
              </c:strCache>
            </c:strRef>
          </c:cat>
          <c:val>
            <c:numRef>
              <c:f>'Total Sales by Product Category'!$B$4:$B$9</c:f>
              <c:numCache>
                <c:formatCode>General</c:formatCode>
                <c:ptCount val="5"/>
                <c:pt idx="0">
                  <c:v>44577850</c:v>
                </c:pt>
                <c:pt idx="1">
                  <c:v>27522800</c:v>
                </c:pt>
                <c:pt idx="2">
                  <c:v>41857500</c:v>
                </c:pt>
                <c:pt idx="3">
                  <c:v>27628600</c:v>
                </c:pt>
                <c:pt idx="4">
                  <c:v>40773550</c:v>
                </c:pt>
              </c:numCache>
            </c:numRef>
          </c:val>
          <c:extLst>
            <c:ext xmlns:c16="http://schemas.microsoft.com/office/drawing/2014/chart" uri="{C3380CC4-5D6E-409C-BE32-E72D297353CC}">
              <c16:uniqueId val="{00000001-A68F-4A4F-83DC-4B3DC8F4EB27}"/>
            </c:ext>
          </c:extLst>
        </c:ser>
        <c:ser>
          <c:idx val="1"/>
          <c:order val="1"/>
          <c:tx>
            <c:strRef>
              <c:f>'Total Sales by Product Category'!$C$3</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'Total Sales by Product Category'!$A$4:$A$9</c:f>
              <c:strCache>
                <c:ptCount val="5"/>
                <c:pt idx="0">
                  <c:v>Clothing</c:v>
                </c:pt>
                <c:pt idx="1">
                  <c:v>Electronics</c:v>
                </c:pt>
                <c:pt idx="2">
                  <c:v>Furniture</c:v>
                </c:pt>
                <c:pt idx="3">
                  <c:v>Groceries</c:v>
                </c:pt>
                <c:pt idx="4">
                  <c:v>Stationery</c:v>
                </c:pt>
              </c:strCache>
            </c:strRef>
          </c:cat>
          <c:val>
            <c:numRef>
              <c:f>'Total Sales by Product Category'!$C$4:$C$9</c:f>
              <c:numCache>
                <c:formatCode>General</c:formatCode>
                <c:ptCount val="5"/>
                <c:pt idx="0">
                  <c:v>9533646</c:v>
                </c:pt>
                <c:pt idx="1">
                  <c:v>5466062</c:v>
                </c:pt>
                <c:pt idx="2">
                  <c:v>8900386.5</c:v>
                </c:pt>
                <c:pt idx="3">
                  <c:v>5243319.5</c:v>
                </c:pt>
                <c:pt idx="4">
                  <c:v>7831650</c:v>
                </c:pt>
              </c:numCache>
            </c:numRef>
          </c:val>
          <c:extLst>
            <c:ext xmlns:c16="http://schemas.microsoft.com/office/drawing/2014/chart" uri="{C3380CC4-5D6E-409C-BE32-E72D297353CC}">
              <c16:uniqueId val="{00000003-A68F-4A4F-83DC-4B3DC8F4EB27}"/>
            </c:ext>
          </c:extLst>
        </c:ser>
        <c:dLbls>
          <c:showLegendKey val="0"/>
          <c:showVal val="0"/>
          <c:showCatName val="0"/>
          <c:showSerName val="0"/>
          <c:showPercent val="0"/>
          <c:showBubbleSize val="0"/>
        </c:dLbls>
        <c:gapWidth val="100"/>
        <c:overlap val="-24"/>
        <c:axId val="777640783"/>
        <c:axId val="777647023"/>
      </c:barChart>
      <c:catAx>
        <c:axId val="77764078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IN" sz="1600"/>
                  <a:t>Product</a:t>
                </a:r>
              </a:p>
            </c:rich>
          </c:tx>
          <c:layout>
            <c:manualLayout>
              <c:xMode val="edge"/>
              <c:yMode val="edge"/>
              <c:x val="0.42696966794380586"/>
              <c:y val="0.848327991452991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t" anchorCtr="1"/>
          <a:lstStyle/>
          <a:p>
            <a:pPr>
              <a:defRPr sz="1200" b="0" i="0" u="none" strike="noStrike" kern="1200" baseline="0">
                <a:solidFill>
                  <a:schemeClr val="bg1">
                    <a:lumMod val="95000"/>
                  </a:schemeClr>
                </a:solidFill>
                <a:latin typeface="+mn-lt"/>
                <a:ea typeface="+mn-ea"/>
                <a:cs typeface="+mn-cs"/>
              </a:defRPr>
            </a:pPr>
            <a:endParaRPr lang="en-US"/>
          </a:p>
        </c:txPr>
        <c:crossAx val="777647023"/>
        <c:crosses val="autoZero"/>
        <c:auto val="1"/>
        <c:lblAlgn val="ctr"/>
        <c:lblOffset val="100"/>
        <c:noMultiLvlLbl val="0"/>
      </c:catAx>
      <c:valAx>
        <c:axId val="777647023"/>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IN" sz="1600"/>
                  <a:t>Sales</a:t>
                </a:r>
                <a:endParaRPr lang="en-IN"/>
              </a:p>
            </c:rich>
          </c:tx>
          <c:layout>
            <c:manualLayout>
              <c:xMode val="edge"/>
              <c:yMode val="edge"/>
              <c:x val="1.6273786717752231E-2"/>
              <c:y val="0.44185149572649574"/>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IN"/>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lumMod val="95000"/>
                  </a:schemeClr>
                </a:solidFill>
                <a:latin typeface="+mn-lt"/>
                <a:ea typeface="+mn-ea"/>
                <a:cs typeface="+mn-cs"/>
              </a:defRPr>
            </a:pPr>
            <a:endParaRPr lang="en-US"/>
          </a:p>
        </c:txPr>
        <c:crossAx val="777640783"/>
        <c:crosses val="autoZero"/>
        <c:crossBetween val="between"/>
      </c:valAx>
      <c:spPr>
        <a:noFill/>
        <a:ln>
          <a:noFill/>
        </a:ln>
        <a:effectLst/>
      </c:spPr>
    </c:plotArea>
    <c:legend>
      <c:legendPos val="r"/>
      <c:layout>
        <c:manualLayout>
          <c:xMode val="edge"/>
          <c:yMode val="edge"/>
          <c:x val="0.71079986876640422"/>
          <c:y val="1.7951311458289293E-2"/>
          <c:w val="0.27531124234470689"/>
          <c:h val="0.1679618693496646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chart>
  <c:spPr>
    <a:gradFill>
      <a:gsLst>
        <a:gs pos="25000">
          <a:schemeClr val="tx1">
            <a:lumMod val="65000"/>
            <a:lumOff val="35000"/>
          </a:schemeClr>
        </a:gs>
        <a:gs pos="74000">
          <a:schemeClr val="tx1">
            <a:lumMod val="85000"/>
            <a:lumOff val="15000"/>
          </a:schemeClr>
        </a:gs>
        <a:gs pos="100000">
          <a:schemeClr val="tx1">
            <a:lumMod val="95000"/>
            <a:lumOff val="5000"/>
          </a:schemeClr>
        </a:gs>
      </a:gsLst>
      <a:lin ang="5400000" scaled="1"/>
    </a:gradFill>
    <a:ln w="9525" cap="flat" cmpd="sng" algn="ctr">
      <a:noFill/>
      <a:round/>
    </a:ln>
    <a:effectLst/>
  </c:spPr>
  <c:txPr>
    <a:bodyPr rot="0" vert="horz" anchor="ctr" anchorCtr="1"/>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[Project_01_Sales Perfomance Analysis for a retail Chain.xlsm]TOTAL SALES &amp; PROFIT BY CITY!PivotTable1</c:name>
    <c:fmtId val="5"/>
  </c:pivotSource>
  <c:chart>
    <c:title>
      <c:tx>
        <c:rich>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r>
              <a:rPr lang="en-IN"/>
              <a:t>Profits by City</a:t>
            </a:r>
          </a:p>
        </c:rich>
      </c:tx>
      <c:layout>
        <c:manualLayout>
          <c:xMode val="edge"/>
          <c:yMode val="edge"/>
          <c:x val="0.17787321170706921"/>
          <c:y val="4.0394750503239488E-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pivotFmt>
      <c:pivotFmt>
        <c:idx val="1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pivotFmt>
    </c:pivotFmts>
    <c:plotArea>
      <c:layout>
        <c:manualLayout>
          <c:layoutTarget val="inner"/>
          <c:xMode val="edge"/>
          <c:yMode val="edge"/>
          <c:x val="0.32913578912905023"/>
          <c:y val="0.1143686300883749"/>
          <c:w val="0.36115883716106584"/>
          <c:h val="0.81183066049504193"/>
        </c:manualLayout>
      </c:layout>
      <c:pieChart>
        <c:varyColors val="1"/>
        <c:ser>
          <c:idx val="0"/>
          <c:order val="0"/>
          <c:tx>
            <c:strRef>
              <c:f>'TOTAL SALES &amp; PROFIT BY CITY'!$B$3</c:f>
              <c:strCache>
                <c:ptCount val="1"/>
                <c:pt idx="0">
                  <c:v>Sum of Profit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B0E0-492C-89B5-8BD961880E6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B0E0-492C-89B5-8BD961880E6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8-B0E0-492C-89B5-8BD961880E64}"/>
              </c:ext>
            </c:extLst>
          </c:dPt>
          <c:dLbls>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'TOTAL SALES &amp; PROFIT BY CITY'!$A$4:$A$9</c:f>
              <c:strCache>
                <c:ptCount val="5"/>
                <c:pt idx="0">
                  <c:v>Bangalore</c:v>
                </c:pt>
                <c:pt idx="1">
                  <c:v>Delhi</c:v>
                </c:pt>
                <c:pt idx="2">
                  <c:v>Mumbai</c:v>
                </c:pt>
                <c:pt idx="3">
                  <c:v>Chennai</c:v>
                </c:pt>
                <c:pt idx="4">
                  <c:v>Ahmedabad</c:v>
                </c:pt>
              </c:strCache>
            </c:strRef>
          </c:cat>
          <c:val>
            <c:numRef>
              <c:f>'TOTAL SALES &amp; PROFIT BY CITY'!$B$4:$B$9</c:f>
              <c:numCache>
                <c:formatCode>General</c:formatCode>
                <c:ptCount val="5"/>
                <c:pt idx="0">
                  <c:v>7145131.5</c:v>
                </c:pt>
                <c:pt idx="1">
                  <c:v>7319364.5</c:v>
                </c:pt>
                <c:pt idx="2">
                  <c:v>7229641</c:v>
                </c:pt>
                <c:pt idx="3">
                  <c:v>6430999</c:v>
                </c:pt>
                <c:pt idx="4">
                  <c:v>5623251.5</c:v>
                </c:pt>
              </c:numCache>
            </c:numRef>
          </c:val>
          <c:extLst>
            <c:ext xmlns:c16="http://schemas.microsoft.com/office/drawing/2014/chart" uri="{C3380CC4-5D6E-409C-BE32-E72D297353CC}">
              <c16:uniqueId val="{00000000-137D-4D28-B287-2A9CBE8FAA27}"/>
            </c:ext>
          </c:extLst>
        </c:ser>
        <c:ser>
          <c:idx val="1"/>
          <c:order val="1"/>
          <c:tx>
            <c:strRef>
              <c:f>'TOTAL SALES &amp; PROFIT BY CITY'!$C$3</c:f>
              <c:strCache>
                <c:ptCount val="1"/>
                <c:pt idx="0">
                  <c:v>Sum of Total Sales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dLbls>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'TOTAL SALES &amp; PROFIT BY CITY'!$A$4:$A$9</c:f>
              <c:strCache>
                <c:ptCount val="5"/>
                <c:pt idx="0">
                  <c:v>Bangalore</c:v>
                </c:pt>
                <c:pt idx="1">
                  <c:v>Delhi</c:v>
                </c:pt>
                <c:pt idx="2">
                  <c:v>Mumbai</c:v>
                </c:pt>
                <c:pt idx="3">
                  <c:v>Chennai</c:v>
                </c:pt>
                <c:pt idx="4">
                  <c:v>Ahmedabad</c:v>
                </c:pt>
              </c:strCache>
            </c:strRef>
          </c:cat>
          <c:val>
            <c:numRef>
              <c:f>'TOTAL SALES &amp; PROFIT BY CITY'!$C$4:$C$9</c:f>
              <c:numCache>
                <c:formatCode>General</c:formatCode>
                <c:ptCount val="5"/>
                <c:pt idx="0">
                  <c:v>37610550</c:v>
                </c:pt>
                <c:pt idx="1">
                  <c:v>36502000</c:v>
                </c:pt>
                <c:pt idx="2">
                  <c:v>33528250</c:v>
                </c:pt>
                <c:pt idx="3">
                  <c:v>30301700</c:v>
                </c:pt>
                <c:pt idx="4">
                  <c:v>29495450</c:v>
                </c:pt>
              </c:numCache>
            </c:numRef>
          </c:val>
          <c:extLst>
            <c:ext xmlns:c16="http://schemas.microsoft.com/office/drawing/2014/chart" uri="{C3380CC4-5D6E-409C-BE32-E72D297353CC}">
              <c16:uniqueId val="{00000001-137D-4D28-B287-2A9CBE8FAA2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2994454536058959"/>
          <c:y val="2.1848036439202287E-2"/>
          <c:w val="0.1566949534070318"/>
          <c:h val="0.5023013117283950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chart>
  <c:spPr>
    <a:gradFill>
      <a:gsLst>
        <a:gs pos="25000">
          <a:sysClr val="windowText" lastClr="000000">
            <a:lumMod val="65000"/>
            <a:lumOff val="35000"/>
          </a:sysClr>
        </a:gs>
        <a:gs pos="74000">
          <a:sysClr val="windowText" lastClr="000000">
            <a:lumMod val="85000"/>
            <a:lumOff val="15000"/>
          </a:sysClr>
        </a:gs>
        <a:gs pos="100000">
          <a:sysClr val="windowText" lastClr="000000">
            <a:lumMod val="95000"/>
            <a:lumOff val="5000"/>
          </a:sysClr>
        </a:gs>
      </a:gsLst>
      <a:lin ang="5400000" scaled="1"/>
    </a:gradFill>
    <a:ln w="9525" cap="flat" cmpd="sng" algn="ctr">
      <a:noFill/>
      <a:round/>
    </a:ln>
    <a:effectLst/>
  </c:spPr>
  <c:txPr>
    <a:bodyPr rot="0" vert="horz" anchor="ctr" anchorCtr="1"/>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[Project_01_Sales Perfomance Analysis for a retail Chain.xlsm]MONT. SALES BY PRODUCT CATEGOR !PivotTable2</c:name>
    <c:fmtId val="7"/>
  </c:pivotSource>
  <c:chart>
    <c:title>
      <c:tx>
        <c:rich>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r>
              <a:rPr lang="en-IN"/>
              <a:t>Monthly Sales by Product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
      </c:pivotFmt>
      <c:pivotFmt>
        <c:idx val="6"/>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layout>
            <c:manualLayout>
              <c:x val="-2.1640776402897409E-3"/>
              <c:y val="-5.8365002209456472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layout>
            <c:manualLayout>
              <c:x val="-8.6563105611589634E-3"/>
              <c:y val="8.0813079982324343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layout>
            <c:manualLayout>
              <c:x val="-6.4922329208692234E-3"/>
              <c:y val="5.3875386654882819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layout>
            <c:manualLayout>
              <c:x val="-2.164077640289741E-2"/>
              <c:y val="8.081307998232426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layout>
            <c:manualLayout>
              <c:x val="-9.305533853245887E-2"/>
              <c:y val="6.7344233318603619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layout>
            <c:manualLayout>
              <c:x val="2.1640776402897409E-3"/>
              <c:y val="0.11673000441891294"/>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layout>
            <c:manualLayout>
              <c:x val="-5.1937863366953788E-2"/>
              <c:y val="-8.9792311091471497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layout>
            <c:manualLayout>
              <c:x val="-5.1937863366953788E-2"/>
              <c:y val="-7.6323464427750815E-2"/>
            </c:manualLayout>
          </c:layout>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48381452318458"/>
          <c:y val="0.20772929425488482"/>
          <c:w val="0.74003915135608045"/>
          <c:h val="0.53253536016331293"/>
        </c:manualLayout>
      </c:layout>
      <c:lineChart>
        <c:grouping val="stacked"/>
        <c:varyColors val="0"/>
        <c:ser>
          <c:idx val="0"/>
          <c:order val="0"/>
          <c:tx>
            <c:strRef>
              <c:f>'MONT. SALES BY PRODUCT CATEGOR '!$B$3:$B$4</c:f>
              <c:strCache>
                <c:ptCount val="1"/>
                <c:pt idx="0">
                  <c:v>Jan</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dLbl>
              <c:idx val="0"/>
              <c:layout>
                <c:manualLayout>
                  <c:x val="-8.6563105611589634E-3"/>
                  <c:y val="8.08130799823243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EB3-45D9-BBB4-9314B91B0892}"/>
                </c:ext>
              </c:extLst>
            </c:dLbl>
            <c:dLbl>
              <c:idx val="1"/>
              <c:layout>
                <c:manualLayout>
                  <c:x val="2.1640776402897409E-3"/>
                  <c:y val="0.116730004418912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EB3-45D9-BBB4-9314B91B0892}"/>
                </c:ext>
              </c:extLst>
            </c:dLbl>
            <c:dLbl>
              <c:idx val="2"/>
              <c:layout>
                <c:manualLayout>
                  <c:x val="-6.4922329208692234E-3"/>
                  <c:y val="5.38753866548828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EB3-45D9-BBB4-9314B91B0892}"/>
                </c:ext>
              </c:extLst>
            </c:dLbl>
            <c:dLbl>
              <c:idx val="3"/>
              <c:layout>
                <c:manualLayout>
                  <c:x val="-2.164077640289741E-2"/>
                  <c:y val="8.0813079982324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EB3-45D9-BBB4-9314B91B0892}"/>
                </c:ext>
              </c:extLst>
            </c:dLbl>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'MONT. SALES BY PRODUCT CATEGOR '!$A$5:$A$10</c:f>
              <c:strCache>
                <c:ptCount val="5"/>
                <c:pt idx="0">
                  <c:v>Clothing</c:v>
                </c:pt>
                <c:pt idx="1">
                  <c:v>Electronics</c:v>
                </c:pt>
                <c:pt idx="2">
                  <c:v>Furniture</c:v>
                </c:pt>
                <c:pt idx="3">
                  <c:v>Groceries</c:v>
                </c:pt>
                <c:pt idx="4">
                  <c:v>Stationery</c:v>
                </c:pt>
              </c:strCache>
            </c:strRef>
          </c:cat>
          <c:val>
            <c:numRef>
              <c:f>'MONT. SALES BY PRODUCT CATEGOR '!$B$5:$B$10</c:f>
              <c:numCache>
                <c:formatCode>General</c:formatCode>
                <c:ptCount val="5"/>
                <c:pt idx="0">
                  <c:v>12829750</c:v>
                </c:pt>
                <c:pt idx="1">
                  <c:v>14899200</c:v>
                </c:pt>
                <c:pt idx="2">
                  <c:v>8343100</c:v>
                </c:pt>
                <c:pt idx="3">
                  <c:v>14496250</c:v>
                </c:pt>
                <c:pt idx="4">
                  <c:v>15369100</c:v>
                </c:pt>
              </c:numCache>
            </c:numRef>
          </c:val>
          <c:smooth val="0"/>
          <c:extLst>
            <c:ext xmlns:c16="http://schemas.microsoft.com/office/drawing/2014/chart" uri="{C3380CC4-5D6E-409C-BE32-E72D297353CC}">
              <c16:uniqueId val="{00000000-137D-4D28-B287-2A9CBE8FAA27}"/>
            </c:ext>
          </c:extLst>
        </c:ser>
        <c:ser>
          <c:idx val="1"/>
          <c:order val="1"/>
          <c:tx>
            <c:strRef>
              <c:f>'MONT. SALES BY PRODUCT CATEGOR '!$C$3:$C$4</c:f>
              <c:strCache>
                <c:ptCount val="1"/>
                <c:pt idx="0">
                  <c:v>Feb</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dLbl>
              <c:idx val="0"/>
              <c:layout>
                <c:manualLayout>
                  <c:x val="-2.1640776402897409E-3"/>
                  <c:y val="-5.83650022094564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EB3-45D9-BBB4-9314B91B0892}"/>
                </c:ext>
              </c:extLst>
            </c:dLbl>
            <c:dLbl>
              <c:idx val="1"/>
              <c:layout>
                <c:manualLayout>
                  <c:x val="-9.305533853245887E-2"/>
                  <c:y val="6.73442333186036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EB3-45D9-BBB4-9314B91B0892}"/>
                </c:ext>
              </c:extLst>
            </c:dLbl>
            <c:dLbl>
              <c:idx val="2"/>
              <c:layout>
                <c:manualLayout>
                  <c:x val="-5.1937863366953788E-2"/>
                  <c:y val="-8.97923110914714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EB3-45D9-BBB4-9314B91B0892}"/>
                </c:ext>
              </c:extLst>
            </c:dLbl>
            <c:dLbl>
              <c:idx val="3"/>
              <c:layout>
                <c:manualLayout>
                  <c:x val="-5.1937863366953788E-2"/>
                  <c:y val="-7.63234644277508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B3-45D9-BBB4-9314B91B0892}"/>
                </c:ext>
              </c:extLst>
            </c:dLbl>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'MONT. SALES BY PRODUCT CATEGOR '!$A$5:$A$10</c:f>
              <c:strCache>
                <c:ptCount val="5"/>
                <c:pt idx="0">
                  <c:v>Clothing</c:v>
                </c:pt>
                <c:pt idx="1">
                  <c:v>Electronics</c:v>
                </c:pt>
                <c:pt idx="2">
                  <c:v>Furniture</c:v>
                </c:pt>
                <c:pt idx="3">
                  <c:v>Groceries</c:v>
                </c:pt>
                <c:pt idx="4">
                  <c:v>Stationery</c:v>
                </c:pt>
              </c:strCache>
            </c:strRef>
          </c:cat>
          <c:val>
            <c:numRef>
              <c:f>'MONT. SALES BY PRODUCT CATEGOR '!$C$5:$C$10</c:f>
              <c:numCache>
                <c:formatCode>General</c:formatCode>
                <c:ptCount val="5"/>
                <c:pt idx="0">
                  <c:v>15317850</c:v>
                </c:pt>
                <c:pt idx="1">
                  <c:v>14953900</c:v>
                </c:pt>
                <c:pt idx="2">
                  <c:v>4278950</c:v>
                </c:pt>
                <c:pt idx="3">
                  <c:v>12623050</c:v>
                </c:pt>
                <c:pt idx="4">
                  <c:v>10197200</c:v>
                </c:pt>
              </c:numCache>
            </c:numRef>
          </c:val>
          <c:smooth val="0"/>
          <c:extLst>
            <c:ext xmlns:c16="http://schemas.microsoft.com/office/drawing/2014/chart" uri="{C3380CC4-5D6E-409C-BE32-E72D297353CC}">
              <c16:uniqueId val="{00000001-137D-4D28-B287-2A9CBE8FAA27}"/>
            </c:ext>
          </c:extLst>
        </c:ser>
        <c:ser>
          <c:idx val="2"/>
          <c:order val="2"/>
          <c:tx>
            <c:strRef>
              <c:f>'MONT. SALES BY PRODUCT CATEGOR '!$D$3:$D$4</c:f>
              <c:strCache>
                <c:ptCount val="1"/>
                <c:pt idx="0">
                  <c:v>Mar</c:v>
                </c:pt>
              </c:strCache>
            </c:strRef>
          </c:tx>
          <c:spPr>
            <a:ln w="31750" cap="rnd">
              <a:solidFill>
                <a:schemeClr val="accent3"/>
              </a:solidFill>
              <a:round/>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cat>
            <c:strRef>
              <c:f>'MONT. SALES BY PRODUCT CATEGOR '!$A$5:$A$10</c:f>
              <c:strCache>
                <c:ptCount val="5"/>
                <c:pt idx="0">
                  <c:v>Clothing</c:v>
                </c:pt>
                <c:pt idx="1">
                  <c:v>Electronics</c:v>
                </c:pt>
                <c:pt idx="2">
                  <c:v>Furniture</c:v>
                </c:pt>
                <c:pt idx="3">
                  <c:v>Groceries</c:v>
                </c:pt>
                <c:pt idx="4">
                  <c:v>Stationery</c:v>
                </c:pt>
              </c:strCache>
            </c:strRef>
          </c:cat>
          <c:val>
            <c:numRef>
              <c:f>'MONT. SALES BY PRODUCT CATEGOR '!$D$5:$D$10</c:f>
              <c:numCache>
                <c:formatCode>General</c:formatCode>
                <c:ptCount val="5"/>
                <c:pt idx="0">
                  <c:v>10942650</c:v>
                </c:pt>
                <c:pt idx="1">
                  <c:v>5607800</c:v>
                </c:pt>
                <c:pt idx="2">
                  <c:v>11642000</c:v>
                </c:pt>
                <c:pt idx="3">
                  <c:v>10435000</c:v>
                </c:pt>
                <c:pt idx="4">
                  <c:v>5502150</c:v>
                </c:pt>
              </c:numCache>
            </c:numRef>
          </c:val>
          <c:smooth val="0"/>
          <c:extLst>
            <c:ext xmlns:c16="http://schemas.microsoft.com/office/drawing/2014/chart" uri="{C3380CC4-5D6E-409C-BE32-E72D297353CC}">
              <c16:uniqueId val="{00000003-FEB3-45D9-BBB4-9314B91B0892}"/>
            </c:ext>
          </c:extLst>
        </c:ser>
        <c:dLbls>
          <c:showLegendKey val="0"/>
          <c:showVal val="0"/>
          <c:showCatName val="0"/>
          <c:showSerName val="0"/>
          <c:showPercent val="0"/>
          <c:showBubbleSize val="0"/>
        </c:dLbls>
        <c:marker val="1"/>
        <c:smooth val="0"/>
        <c:axId val="777640783"/>
        <c:axId val="777647023"/>
      </c:lineChart>
      <c:catAx>
        <c:axId val="77764078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IN" sz="1600"/>
                  <a:t>Product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t" anchorCtr="1"/>
          <a:lstStyle/>
          <a:p>
            <a:pPr>
              <a:defRPr sz="1200" b="0" i="0" u="none" strike="noStrike" kern="1200" baseline="0">
                <a:solidFill>
                  <a:schemeClr val="bg1">
                    <a:lumMod val="95000"/>
                  </a:schemeClr>
                </a:solidFill>
                <a:latin typeface="+mn-lt"/>
                <a:ea typeface="+mn-ea"/>
                <a:cs typeface="+mn-cs"/>
              </a:defRPr>
            </a:pPr>
            <a:endParaRPr lang="en-US"/>
          </a:p>
        </c:txPr>
        <c:crossAx val="777647023"/>
        <c:crosses val="autoZero"/>
        <c:auto val="1"/>
        <c:lblAlgn val="ctr"/>
        <c:lblOffset val="100"/>
        <c:noMultiLvlLbl val="0"/>
      </c:catAx>
      <c:valAx>
        <c:axId val="777647023"/>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US" sz="1600"/>
                  <a:t>Sales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lumMod val="95000"/>
                  </a:schemeClr>
                </a:solidFill>
                <a:latin typeface="+mn-lt"/>
                <a:ea typeface="+mn-ea"/>
                <a:cs typeface="+mn-cs"/>
              </a:defRPr>
            </a:pPr>
            <a:endParaRPr lang="en-US"/>
          </a:p>
        </c:txPr>
        <c:crossAx val="777640783"/>
        <c:crosses val="autoZero"/>
        <c:crossBetween val="between"/>
      </c:valAx>
      <c:spPr>
        <a:noFill/>
        <a:ln>
          <a:noFill/>
        </a:ln>
        <a:effectLst/>
      </c:spPr>
    </c:plotArea>
    <c:legend>
      <c:legendPos val="r"/>
      <c:layout>
        <c:manualLayout>
          <c:xMode val="edge"/>
          <c:yMode val="edge"/>
          <c:x val="0.82423634045269423"/>
          <c:y val="1.3507607892039907E-2"/>
          <c:w val="9.9428802782833448E-2"/>
          <c:h val="0.1958541913122341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chart>
  <c:spPr>
    <a:gradFill>
      <a:gsLst>
        <a:gs pos="25000">
          <a:schemeClr val="tx1">
            <a:lumMod val="65000"/>
            <a:lumOff val="35000"/>
          </a:schemeClr>
        </a:gs>
        <a:gs pos="74000">
          <a:schemeClr val="tx1">
            <a:lumMod val="85000"/>
            <a:lumOff val="15000"/>
          </a:schemeClr>
        </a:gs>
        <a:gs pos="100000">
          <a:schemeClr val="tx1">
            <a:lumMod val="95000"/>
            <a:lumOff val="5000"/>
          </a:schemeClr>
        </a:gs>
      </a:gsLst>
      <a:lin ang="5400000" scaled="1"/>
    </a:gradFill>
    <a:ln w="9525" cap="flat" cmpd="sng" algn="ctr">
      <a:noFill/>
      <a:round/>
    </a:ln>
    <a:effectLst/>
  </c:spPr>
  <c:txPr>
    <a:bodyPr rot="0" vert="horz" anchor="ctr" anchorCtr="1"/>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[Project_01_Sales Perfomance Analysis for a retail Chain.xlsm]TOP 5 SELLING PRODUCT!PivotTable3</c:name>
    <c:fmtId val="3"/>
  </c:pivotSource>
  <c:chart>
    <c:title>
      <c:tx>
        <c:rich>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r>
              <a:rPr lang="en-IN"/>
              <a:t>Top 5 Selling Product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9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48381452318458"/>
          <c:y val="0.20772929425488482"/>
          <c:w val="0.74003915135608045"/>
          <c:h val="0.53253536016331293"/>
        </c:manualLayout>
      </c:layout>
      <c:barChart>
        <c:barDir val="bar"/>
        <c:grouping val="clustered"/>
        <c:varyColors val="0"/>
        <c:ser>
          <c:idx val="0"/>
          <c:order val="0"/>
          <c:tx>
            <c:strRef>
              <c:f>'TOP 5 SELLING PRODUCT'!$B$3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numFmt formatCode="&quot;₹&quot;\ 0.00,,&quot;M&quot;" sourceLinked="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'TOP 5 SELLING PRODUCT'!$A$4:$A$9</c:f>
              <c:strCache>
                <c:ptCount val="5"/>
                <c:pt idx="0">
                  <c:v>Office Chair</c:v>
                </c:pt>
                <c:pt idx="1">
                  <c:v>Notebook</c:v>
                </c:pt>
                <c:pt idx="2">
                  <c:v>Shampoo</c:v>
                </c:pt>
                <c:pt idx="3">
                  <c:v>T-shirt</c:v>
                </c:pt>
                <c:pt idx="4">
                  <c:v>Desk Lamp</c:v>
                </c:pt>
              </c:strCache>
            </c:strRef>
          </c:cat>
          <c:val>
            <c:numRef>
              <c:f>'TOP 5 SELLING PRODUCT'!$B$4:$B$9</c:f>
              <c:numCache>
                <c:formatCode>General</c:formatCode>
                <c:ptCount val="5"/>
                <c:pt idx="0">
                  <c:v>23112700</c:v>
                </c:pt>
                <c:pt idx="1">
                  <c:v>21448300</c:v>
                </c:pt>
                <c:pt idx="2">
                  <c:v>21368800</c:v>
                </c:pt>
                <c:pt idx="3">
                  <c:v>20974500</c:v>
                </c:pt>
                <c:pt idx="4">
                  <c:v>19829250</c:v>
                </c:pt>
              </c:numCache>
            </c:numRef>
          </c:val>
          <c:extLst>
            <c:ext xmlns:c16="http://schemas.microsoft.com/office/drawing/2014/chart" uri="{C3380CC4-5D6E-409C-BE32-E72D297353CC}">
              <c16:uniqueId val="{00000000-137D-4D28-B287-2A9CBE8FAA27}"/>
            </c:ext>
          </c:extLst>
        </c:ser>
        <c:dLbls>
          <c:showLegendKey val="0"/>
          <c:showVal val="0"/>
          <c:showCatName val="0"/>
          <c:showSerName val="0"/>
          <c:showPercent val="0"/>
          <c:showBubbleSize val="0"/>
        </c:dLbls>
        <c:gapWidth val="100"/>
        <c:axId val="777640783"/>
        <c:axId val="777647023"/>
      </c:barChart>
      <c:catAx>
        <c:axId val="777640783"/>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IN" sz="1600"/>
                  <a:t>Items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t" anchorCtr="1"/>
          <a:lstStyle/>
          <a:p>
            <a:pPr>
              <a:defRPr sz="1200" b="0" i="0" u="none" strike="noStrike" kern="1200" baseline="0">
                <a:solidFill>
                  <a:schemeClr val="bg1">
                    <a:lumMod val="95000"/>
                  </a:schemeClr>
                </a:solidFill>
                <a:latin typeface="+mn-lt"/>
                <a:ea typeface="+mn-ea"/>
                <a:cs typeface="+mn-cs"/>
              </a:defRPr>
            </a:pPr>
            <a:endParaRPr lang="en-US"/>
          </a:p>
        </c:txPr>
        <c:crossAx val="777647023"/>
        <c:crosses val="autoZero"/>
        <c:auto val="1"/>
        <c:lblAlgn val="ctr"/>
        <c:lblOffset val="100"/>
        <c:noMultiLvlLbl val="0"/>
      </c:catAx>
      <c:valAx>
        <c:axId val="77764702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r>
                  <a:rPr lang="en-IN" sz="1600"/>
                  <a:t>Sales</a:t>
                </a:r>
              </a:p>
            </c:rich>
          </c:tx>
          <c:layout>
            <c:manualLayout>
              <c:xMode val="edge"/>
              <c:yMode val="edge"/>
              <c:x val="0.44835338624175836"/>
              <c:y val="0.8561690803555932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lumMod val="95000"/>
                  </a:schemeClr>
                </a:solidFill>
                <a:latin typeface="+mn-lt"/>
                <a:ea typeface="+mn-ea"/>
                <a:cs typeface="+mn-cs"/>
              </a:defRPr>
            </a:pPr>
            <a:endParaRPr lang="en-US"/>
          </a:p>
        </c:txPr>
        <c:crossAx val="777640783"/>
        <c:crosses val="autoZero"/>
        <c:crossBetween val="between"/>
      </c:valAx>
      <c:spPr>
        <a:noFill/>
        <a:ln>
          <a:noFill/>
        </a:ln>
        <a:effectLst/>
      </c:spPr>
    </c:plotArea>
    <c:legend>
      <c:legendPos val="r"/>
      <c:layout>
        <c:manualLayout>
          <c:xMode val="edge"/>
          <c:yMode val="edge"/>
          <c:x val="0.71079986876640422"/>
          <c:y val="1.7951311458289293E-2"/>
          <c:w val="7.6925236214940448E-2"/>
          <c:h val="9.1553695740208663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chart>
  <c:spPr>
    <a:gradFill>
      <a:gsLst>
        <a:gs pos="25000">
          <a:schemeClr val="tx1">
            <a:lumMod val="65000"/>
            <a:lumOff val="35000"/>
          </a:schemeClr>
        </a:gs>
        <a:gs pos="74000">
          <a:schemeClr val="tx1">
            <a:lumMod val="85000"/>
            <a:lumOff val="15000"/>
          </a:schemeClr>
        </a:gs>
        <a:gs pos="100000">
          <a:schemeClr val="tx1">
            <a:lumMod val="95000"/>
            <a:lumOff val="5000"/>
          </a:schemeClr>
        </a:gs>
      </a:gsLst>
      <a:lin ang="5400000" scaled="1"/>
    </a:gradFill>
    <a:ln w="9525" cap="flat" cmpd="sng" algn="ctr">
      <a:noFill/>
      <a:round/>
    </a:ln>
    <a:effectLst/>
  </c:spPr>
  <c:txPr>
    <a:bodyPr rot="0" vert="horz" anchor="ctr" anchorCtr="1"/>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4E83D1C-62B5-462F-B67F-D7A30C08C6BD}">
  <sheetPr/>
  <sheetViews>
    <sheetView zoomScale="82" workbookViewId="0" zoomToFit="1"/>
  </sheetViews>
  <pageMargins left="0.7" right="0.7" top="0.75" bottom="0.75" header="0.3" footer="0.3"/>
  <pageSetup orientation="landscape" horizontalDpi="1200" verticalDpi="1200"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51488" cy="6272561"/>
    <xdr:graphicFrame macro="">
      <xdr:nvGraphicFramePr>
        <xdr:cNvPr id="2" name="Chart 1">
          <a:extLst>
            <a:ext uri="{FF2B5EF4-FFF2-40B4-BE49-F238E27FC236}">
              <a16:creationId xmlns:a16="http://schemas.microsoft.com/office/drawing/2014/main" id="{9BE44E88-0F71-6F2B-5600-366CED76D9D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134470</xdr:colOff>
      <xdr:row>3</xdr:row>
      <xdr:rowOff>71718</xdr:rowOff>
    </xdr:from>
    <xdr:to>
      <xdr:col>3</xdr:col>
      <xdr:colOff>313765</xdr:colOff>
      <xdr:row>31</xdr:row>
      <xdr:rowOff>161365</xdr:rowOff>
    </xdr:to>
    <xdr:sp macro="" textlink="">
      <xdr:nvSpPr>
        <xdr:cNvPr id="11" name="Rectangle 10">
          <a:extLst>
            <a:ext uri="{FF2B5EF4-FFF2-40B4-BE49-F238E27FC236}">
              <a16:creationId xmlns:a16="http://schemas.microsoft.com/office/drawing/2014/main" id="{A11A9756-2704-201D-03B1-85AD2B9791A0}"/>
            </a:ext>
          </a:extLst>
        </xdr:cNvPr>
        <xdr:cNvSpPr/>
      </xdr:nvSpPr>
      <xdr:spPr>
        <a:xfrm>
          <a:off x="134470" y="842683"/>
          <a:ext cx="2008095" cy="5109882"/>
        </a:xfrm>
        <a:prstGeom prst="rect">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421342</xdr:colOff>
      <xdr:row>3</xdr:row>
      <xdr:rowOff>72546</xdr:rowOff>
    </xdr:from>
    <xdr:to>
      <xdr:col>11</xdr:col>
      <xdr:colOff>455992</xdr:colOff>
      <xdr:row>18</xdr:row>
      <xdr:rowOff>165921</xdr:rowOff>
    </xdr:to>
    <xdr:graphicFrame macro="">
      <xdr:nvGraphicFramePr>
        <xdr:cNvPr id="2" name="Chart 1">
          <a:extLst>
            <a:ext uri="{FF2B5EF4-FFF2-40B4-BE49-F238E27FC236}">
              <a16:creationId xmlns:a16="http://schemas.microsoft.com/office/drawing/2014/main" id="{4BC7E2E9-FAB2-436F-A9DE-69F8AD901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533402</xdr:colOff>
      <xdr:row>19</xdr:row>
      <xdr:rowOff>28574</xdr:rowOff>
    </xdr:from>
    <xdr:to>
      <xdr:col>22</xdr:col>
      <xdr:colOff>78316</xdr:colOff>
      <xdr:row>33</xdr:row>
      <xdr:rowOff>86924</xdr:rowOff>
    </xdr:to>
    <xdr:graphicFrame macro="">
      <xdr:nvGraphicFramePr>
        <xdr:cNvPr id="3" name="Chart 2">
          <a:extLst>
            <a:ext uri="{FF2B5EF4-FFF2-40B4-BE49-F238E27FC236}">
              <a16:creationId xmlns:a16="http://schemas.microsoft.com/office/drawing/2014/main" id="{06AEF5D4-D216-411C-96E8-6599C38A4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513069</xdr:colOff>
      <xdr:row>3</xdr:row>
      <xdr:rowOff>47800</xdr:rowOff>
    </xdr:from>
    <xdr:to>
      <xdr:col>22</xdr:col>
      <xdr:colOff>110066</xdr:colOff>
      <xdr:row>18</xdr:row>
      <xdr:rowOff>161925</xdr:rowOff>
    </xdr:to>
    <xdr:graphicFrame macro="">
      <xdr:nvGraphicFramePr>
        <xdr:cNvPr id="4" name="Chart 3">
          <a:extLst>
            <a:ext uri="{FF2B5EF4-FFF2-40B4-BE49-F238E27FC236}">
              <a16:creationId xmlns:a16="http://schemas.microsoft.com/office/drawing/2014/main" id="{E31D1AD6-0F92-4019-9153-0172778A56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400115</xdr:colOff>
      <xdr:row>19</xdr:row>
      <xdr:rowOff>17000</xdr:rowOff>
    </xdr:from>
    <xdr:to>
      <xdr:col>11</xdr:col>
      <xdr:colOff>476251</xdr:colOff>
      <xdr:row>33</xdr:row>
      <xdr:rowOff>76200</xdr:rowOff>
    </xdr:to>
    <xdr:graphicFrame macro="">
      <xdr:nvGraphicFramePr>
        <xdr:cNvPr id="5" name="Chart 4">
          <a:extLst>
            <a:ext uri="{FF2B5EF4-FFF2-40B4-BE49-F238E27FC236}">
              <a16:creationId xmlns:a16="http://schemas.microsoft.com/office/drawing/2014/main" id="{C810AF51-D385-488F-BEE9-47A844EEC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232869</xdr:colOff>
      <xdr:row>6</xdr:row>
      <xdr:rowOff>24068</xdr:rowOff>
    </xdr:from>
    <xdr:to>
      <xdr:col>3</xdr:col>
      <xdr:colOff>232869</xdr:colOff>
      <xdr:row>12</xdr:row>
      <xdr:rowOff>181724</xdr:rowOff>
    </xdr:to>
    <mc:AlternateContent xmlns:mc="http://schemas.openxmlformats.org/markup-compatibility/2006">
      <mc:Choice xmlns:a14="http://schemas.microsoft.com/office/drawing/2010/main" Requires="a14">
        <xdr:graphicFrame macro="">
          <xdr:nvGraphicFramePr>
            <xdr:cNvPr id="6" name="Date (Month)">
              <a:extLst>
                <a:ext uri="{FF2B5EF4-FFF2-40B4-BE49-F238E27FC236}">
                  <a16:creationId xmlns:a16="http://schemas.microsoft.com/office/drawing/2014/main" id="{2A8675EB-1EAA-44AD-D0EA-ECEABB5AC782}"/>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232869" y="1338518"/>
              <a:ext cx="1828800" cy="12435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248239</xdr:colOff>
      <xdr:row>13</xdr:row>
      <xdr:rowOff>75339</xdr:rowOff>
    </xdr:from>
    <xdr:to>
      <xdr:col>3</xdr:col>
      <xdr:colOff>248239</xdr:colOff>
      <xdr:row>21</xdr:row>
      <xdr:rowOff>30239</xdr:rowOff>
    </xdr:to>
    <mc:AlternateContent xmlns:mc="http://schemas.openxmlformats.org/markup-compatibility/2006">
      <mc:Choice xmlns:a14="http://schemas.microsoft.com/office/drawing/2010/main" Requires="a14">
        <xdr:graphicFrame macro="">
          <xdr:nvGraphicFramePr>
            <xdr:cNvPr id="7" name="City">
              <a:extLst>
                <a:ext uri="{FF2B5EF4-FFF2-40B4-BE49-F238E27FC236}">
                  <a16:creationId xmlns:a16="http://schemas.microsoft.com/office/drawing/2014/main" id="{852C359C-3FCF-6A74-2FCF-7F324A35FEA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248239" y="2656614"/>
              <a:ext cx="1828800" cy="140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258037</xdr:colOff>
      <xdr:row>21</xdr:row>
      <xdr:rowOff>130043</xdr:rowOff>
    </xdr:from>
    <xdr:to>
      <xdr:col>3</xdr:col>
      <xdr:colOff>260726</xdr:colOff>
      <xdr:row>31</xdr:row>
      <xdr:rowOff>28575</xdr:rowOff>
    </xdr:to>
    <mc:AlternateContent xmlns:mc="http://schemas.openxmlformats.org/markup-compatibility/2006">
      <mc:Choice xmlns:a14="http://schemas.microsoft.com/office/drawing/2010/main" Requires="a14">
        <xdr:graphicFrame macro="">
          <xdr:nvGraphicFramePr>
            <xdr:cNvPr id="8" name="Product Category">
              <a:extLst>
                <a:ext uri="{FF2B5EF4-FFF2-40B4-BE49-F238E27FC236}">
                  <a16:creationId xmlns:a16="http://schemas.microsoft.com/office/drawing/2014/main" id="{C7A64307-5A3A-50F2-7EDB-D9AD4DAC22C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258037" y="4159118"/>
              <a:ext cx="1831489" cy="17082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134470</xdr:colOff>
      <xdr:row>0</xdr:row>
      <xdr:rowOff>116541</xdr:rowOff>
    </xdr:from>
    <xdr:to>
      <xdr:col>22</xdr:col>
      <xdr:colOff>276225</xdr:colOff>
      <xdr:row>2</xdr:row>
      <xdr:rowOff>224118</xdr:rowOff>
    </xdr:to>
    <xdr:sp macro="" textlink="">
      <xdr:nvSpPr>
        <xdr:cNvPr id="10" name="TextBox 9">
          <a:extLst>
            <a:ext uri="{FF2B5EF4-FFF2-40B4-BE49-F238E27FC236}">
              <a16:creationId xmlns:a16="http://schemas.microsoft.com/office/drawing/2014/main" id="{502706CE-A238-9B21-486B-3F33AB0D32C1}"/>
            </a:ext>
          </a:extLst>
        </xdr:cNvPr>
        <xdr:cNvSpPr txBox="1"/>
      </xdr:nvSpPr>
      <xdr:spPr>
        <a:xfrm>
          <a:off x="134470" y="116541"/>
          <a:ext cx="14905505" cy="583827"/>
        </a:xfrm>
        <a:prstGeom prst="rect">
          <a:avLst/>
        </a:prstGeom>
        <a:ln/>
      </xdr:spPr>
      <xdr:style>
        <a:lnRef idx="1">
          <a:schemeClr val="dk1"/>
        </a:lnRef>
        <a:fillRef idx="3">
          <a:schemeClr val="dk1"/>
        </a:fillRef>
        <a:effectRef idx="2">
          <a:schemeClr val="dk1"/>
        </a:effectRef>
        <a:fontRef idx="minor">
          <a:schemeClr val="lt1"/>
        </a:fontRef>
      </xdr:style>
      <xdr:txBody>
        <a:bodyPr vertOverflow="clip" horzOverflow="clip" wrap="square" rtlCol="0" anchor="t"/>
        <a:lstStyle/>
        <a:p>
          <a:pPr algn="ctr"/>
          <a:r>
            <a:rPr lang="en-IN" sz="2800">
              <a:solidFill>
                <a:srgbClr val="FFC000"/>
              </a:solidFill>
              <a:latin typeface="ADLaM Display" panose="020F0502020204030204" pitchFamily="2" charset="0"/>
              <a:ea typeface="ADLaM Display" panose="020F0502020204030204" pitchFamily="2" charset="0"/>
              <a:cs typeface="ADLaM Display" panose="020F0502020204030204" pitchFamily="2" charset="0"/>
            </a:rPr>
            <a:t>Sales Analysis</a:t>
          </a:r>
          <a:r>
            <a:rPr lang="en-IN" sz="2800" baseline="0">
              <a:solidFill>
                <a:srgbClr val="FFC000"/>
              </a:solidFill>
              <a:latin typeface="ADLaM Display" panose="020F0502020204030204" pitchFamily="2" charset="0"/>
              <a:ea typeface="ADLaM Display" panose="020F0502020204030204" pitchFamily="2" charset="0"/>
              <a:cs typeface="ADLaM Display" panose="020F0502020204030204" pitchFamily="2" charset="0"/>
            </a:rPr>
            <a:t> | </a:t>
          </a:r>
          <a:r>
            <a:rPr lang="en-IN" sz="2800" baseline="0">
              <a:solidFill>
                <a:srgbClr val="92D050"/>
              </a:solidFill>
              <a:latin typeface="ADLaM Display" panose="020F0502020204030204" pitchFamily="2" charset="0"/>
              <a:ea typeface="ADLaM Display" panose="020F0502020204030204" pitchFamily="2" charset="0"/>
              <a:cs typeface="ADLaM Display" panose="020F0502020204030204" pitchFamily="2" charset="0"/>
            </a:rPr>
            <a:t>Retail Chain</a:t>
          </a:r>
          <a:endParaRPr lang="en-IN" sz="2800">
            <a:solidFill>
              <a:srgbClr val="92D050"/>
            </a:solidFill>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206189</xdr:colOff>
      <xdr:row>3</xdr:row>
      <xdr:rowOff>170329</xdr:rowOff>
    </xdr:from>
    <xdr:to>
      <xdr:col>3</xdr:col>
      <xdr:colOff>197224</xdr:colOff>
      <xdr:row>6</xdr:row>
      <xdr:rowOff>76200</xdr:rowOff>
    </xdr:to>
    <xdr:sp macro="" textlink="">
      <xdr:nvSpPr>
        <xdr:cNvPr id="12" name="TextBox 11">
          <a:extLst>
            <a:ext uri="{FF2B5EF4-FFF2-40B4-BE49-F238E27FC236}">
              <a16:creationId xmlns:a16="http://schemas.microsoft.com/office/drawing/2014/main" id="{8CDE3DAE-3664-90BF-EB5D-F05CCAE7656B}"/>
            </a:ext>
          </a:extLst>
        </xdr:cNvPr>
        <xdr:cNvSpPr txBox="1"/>
      </xdr:nvSpPr>
      <xdr:spPr>
        <a:xfrm>
          <a:off x="206189" y="949262"/>
          <a:ext cx="1819835" cy="464671"/>
        </a:xfrm>
        <a:prstGeom prst="rect">
          <a:avLst/>
        </a:prstGeom>
        <a:noFill/>
        <a:ln>
          <a:noFill/>
        </a:ln>
      </xdr:spPr>
      <xdr:style>
        <a:lnRef idx="1">
          <a:schemeClr val="dk1"/>
        </a:lnRef>
        <a:fillRef idx="3">
          <a:schemeClr val="dk1"/>
        </a:fillRef>
        <a:effectRef idx="2">
          <a:schemeClr val="dk1"/>
        </a:effectRef>
        <a:fontRef idx="minor">
          <a:schemeClr val="lt1"/>
        </a:fontRef>
      </xdr:style>
      <xdr:txBody>
        <a:bodyPr vertOverflow="clip" horzOverflow="clip" wrap="square" rtlCol="0" anchor="t"/>
        <a:lstStyle/>
        <a:p>
          <a:pPr algn="ctr"/>
          <a:r>
            <a:rPr lang="en-IN" sz="2000">
              <a:solidFill>
                <a:srgbClr val="DC5714"/>
              </a:solidFill>
              <a:latin typeface="ADLaM Display" panose="02010000000000000000" pitchFamily="2" charset="0"/>
              <a:ea typeface="ADLaM Display" panose="02010000000000000000" pitchFamily="2" charset="0"/>
              <a:cs typeface="ADLaM Display" panose="02010000000000000000" pitchFamily="2" charset="0"/>
            </a:rPr>
            <a:t>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5824.748649884263" backgroundQuery="1" createdVersion="8" refreshedVersion="8" minRefreshableVersion="3" recordCount="0" supportSubquery="1" supportAdvancedDrill="1" xr:uid="{D462ED60-E18A-4E9A-87A0-799A9B6856BD}">
  <cacheSource type="external" connectionId="3"/>
  <cacheFields count="2">
    <cacheField name="[MT1_].[City].[City]" caption="City" numFmtId="0" hierarchy="3" level="1">
      <sharedItems count="5">
        <s v="Ahmedabad"/>
        <s v="Bangalore"/>
        <s v="Chennai"/>
        <s v="Delhi"/>
        <s v="Mumbai"/>
      </sharedItems>
    </cacheField>
    <cacheField name="[Measures].[Sum of Total Sales 2]" caption="Sum of Total Sales 2" numFmtId="0" hierarchy="30" level="32767"/>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fieldsUsage count="2">
        <fieldUsage x="-1"/>
        <fieldUsage x="0"/>
      </fieldsUsage>
    </cacheHierarchy>
    <cacheHierarchy uniqueName="[MT1_].[Product Category]" caption="Product Category" attribute="1" defaultMemberUniqueName="[MT1_].[Product Category].[All]" allUniqueName="[MT1_].[Product Category].[All]" dimensionUniqueName="[MT1_]" displayFolder="" count="0" memberValueDatatype="130" unbalanced="0"/>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0"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5824.748828703705" backgroundQuery="1" createdVersion="8" refreshedVersion="8" minRefreshableVersion="3" recordCount="0" supportSubquery="1" supportAdvancedDrill="1" xr:uid="{5E169AB3-1838-45D4-ADF2-89F536C8ABDA}">
  <cacheSource type="external" connectionId="3"/>
  <cacheFields count="2">
    <cacheField name="[MT1_].[Product Category].[Product Category]" caption="Product Category" numFmtId="0" hierarchy="4" level="1">
      <sharedItems count="5">
        <s v="Clothing"/>
        <s v="Electronics"/>
        <s v="Furniture"/>
        <s v="Groceries"/>
        <s v="Stationery"/>
      </sharedItems>
    </cacheField>
    <cacheField name="[Measures].[Sum of Profit Margin]" caption="Sum of Profit Margin" numFmtId="0" hierarchy="33" level="32767"/>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0" memberValueDatatype="130" unbalanced="0"/>
    <cacheHierarchy uniqueName="[MT1_].[Product Category]" caption="Product Category" attribute="1" defaultMemberUniqueName="[MT1_].[Product Category].[All]" allUniqueName="[MT1_].[Product Category].[All]" dimensionUniqueName="[MT1_]" displayFolder="" count="2" memberValueDatatype="130" unbalanced="0">
      <fieldsUsage count="2">
        <fieldUsage x="-1"/>
        <fieldUsage x="0"/>
      </fieldsUsage>
    </cacheHierarchy>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0"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hidden="1">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6030.800959953704" backgroundQuery="1" createdVersion="8" refreshedVersion="8" minRefreshableVersion="3" recordCount="0" supportSubquery="1" supportAdvancedDrill="1" xr:uid="{5B92A73B-6A92-4C66-8076-D69303F372E8}">
  <cacheSource type="external" connectionId="3"/>
  <cacheFields count="3">
    <cacheField name="[Measures].[Sum of Profit 2]" caption="Sum of Profit 2" numFmtId="0" hierarchy="31" level="32767"/>
    <cacheField name="[MT1_].[City].[City]" caption="City" numFmtId="0" hierarchy="3" level="1">
      <sharedItems count="5">
        <s v="Ahmedabad"/>
        <s v="Bangalore"/>
        <s v="Chennai"/>
        <s v="Delhi"/>
        <s v="Mumbai"/>
      </sharedItems>
    </cacheField>
    <cacheField name="[Measures].[Sum of Total Sales 2]" caption="Sum of Total Sales 2" numFmtId="0" hierarchy="30" level="32767"/>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fieldsUsage count="2">
        <fieldUsage x="-1"/>
        <fieldUsage x="1"/>
      </fieldsUsage>
    </cacheHierarchy>
    <cacheHierarchy uniqueName="[MT1_].[Product Category]" caption="Product Category" attribute="1" defaultMemberUniqueName="[MT1_].[Product Category].[All]" allUniqueName="[MT1_].[Product Category].[All]" dimensionUniqueName="[MT1_]" displayFolder="" count="2" memberValueDatatype="130" unbalanced="0"/>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6030.800960300927" backgroundQuery="1" createdVersion="8" refreshedVersion="8" minRefreshableVersion="3" recordCount="0" supportSubquery="1" supportAdvancedDrill="1" xr:uid="{8F6CEEB6-2100-4589-984E-A39FE4C7CDA7}">
  <cacheSource type="external" connectionId="3"/>
  <cacheFields count="4">
    <cacheField name="[MT1_].[Product Category].[Product Category]" caption="Product Category" numFmtId="0" hierarchy="4" level="1">
      <sharedItems count="5">
        <s v="Clothing"/>
        <s v="Electronics"/>
        <s v="Furniture"/>
        <s v="Groceries"/>
        <s v="Stationery"/>
      </sharedItems>
    </cacheField>
    <cacheField name="[MT1_].[Date (Month)].[Date (Month)]" caption="Date (Month)" numFmtId="0" hierarchy="11" level="1">
      <sharedItems count="3">
        <s v="Jan"/>
        <s v="Feb"/>
        <s v="Mar"/>
      </sharedItems>
    </cacheField>
    <cacheField name="[Measures].[Sum of Total Sales 2]" caption="Sum of Total Sales 2" numFmtId="0" hierarchy="30" level="32767"/>
    <cacheField name="[MT1_].[City].[City]" caption="City" numFmtId="0" hierarchy="3" level="1">
      <sharedItems containsSemiMixedTypes="0" containsNonDate="0" containsString="0"/>
    </cacheField>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fieldsUsage count="2">
        <fieldUsage x="-1"/>
        <fieldUsage x="3"/>
      </fieldsUsage>
    </cacheHierarchy>
    <cacheHierarchy uniqueName="[MT1_].[Product Category]" caption="Product Category" attribute="1" defaultMemberUniqueName="[MT1_].[Product Category].[All]" allUniqueName="[MT1_].[Product Category].[All]" dimensionUniqueName="[MT1_]" displayFolder="" count="2" memberValueDatatype="130" unbalanced="0">
      <fieldsUsage count="2">
        <fieldUsage x="-1"/>
        <fieldUsage x="0"/>
      </fieldsUsage>
    </cacheHierarchy>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fieldsUsage count="2">
        <fieldUsage x="-1"/>
        <fieldUsage x="1"/>
      </fieldsUsage>
    </cacheHierarchy>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6030.800960879627" backgroundQuery="1" createdVersion="8" refreshedVersion="8" minRefreshableVersion="3" recordCount="0" supportSubquery="1" supportAdvancedDrill="1" xr:uid="{EDBF08D5-2F90-4136-AC2C-3CF4A4D968D8}">
  <cacheSource type="external" connectionId="3"/>
  <cacheFields count="3">
    <cacheField name="[MT1_].[Store].[Store]" caption="Store" numFmtId="0" hierarchy="2" level="1">
      <sharedItems count="5">
        <s v="S001"/>
        <s v="S002"/>
        <s v="S003"/>
        <s v="S004"/>
        <s v="S005"/>
      </sharedItems>
    </cacheField>
    <cacheField name="[Measures].[Sum of Profit 2]" caption="Sum of Profit 2" numFmtId="0" hierarchy="31" level="32767"/>
    <cacheField name="[MT1_].[City].[City]" caption="City" numFmtId="0" hierarchy="3" level="1">
      <sharedItems containsSemiMixedTypes="0" containsNonDate="0" containsString="0"/>
    </cacheField>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2" memberValueDatatype="130" unbalanced="0">
      <fieldsUsage count="2">
        <fieldUsage x="-1"/>
        <fieldUsage x="0"/>
      </fieldsUsage>
    </cacheHierarchy>
    <cacheHierarchy uniqueName="[MT1_].[City]" caption="City" attribute="1" defaultMemberUniqueName="[MT1_].[City].[All]" allUniqueName="[MT1_].[City].[All]" dimensionUniqueName="[MT1_]" displayFolder="" count="2" memberValueDatatype="130" unbalanced="0">
      <fieldsUsage count="2">
        <fieldUsage x="-1"/>
        <fieldUsage x="2"/>
      </fieldsUsage>
    </cacheHierarchy>
    <cacheHierarchy uniqueName="[MT1_].[Product Category]" caption="Product Category" attribute="1" defaultMemberUniqueName="[MT1_].[Product Category].[All]" allUniqueName="[MT1_].[Product Category].[All]" dimensionUniqueName="[MT1_]" displayFolder="" count="2" memberValueDatatype="130" unbalanced="0"/>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hidden="1">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6030.800961226851" backgroundQuery="1" createdVersion="8" refreshedVersion="8" minRefreshableVersion="3" recordCount="0" supportSubquery="1" supportAdvancedDrill="1" xr:uid="{CB1D7DE2-D01F-4B16-9A0F-5773E5FBE4EF}">
  <cacheSource type="external" connectionId="3"/>
  <cacheFields count="4">
    <cacheField name="[Measures].[Sum of Total Sales 2]" caption="Sum of Total Sales 2" numFmtId="0" hierarchy="30" level="32767"/>
    <cacheField name="[MT1_].[Product Category].[Product Category]" caption="Product Category" numFmtId="0" hierarchy="4" level="1">
      <sharedItems count="5">
        <s v="Clothing"/>
        <s v="Electronics"/>
        <s v="Furniture"/>
        <s v="Groceries"/>
        <s v="Stationery"/>
      </sharedItems>
    </cacheField>
    <cacheField name="[MT1_].[Product Name].[Product Name]" caption="Product Name" numFmtId="0" hierarchy="5" level="1">
      <sharedItems count="5">
        <s v="Desk Lamp"/>
        <s v="Notebook"/>
        <s v="Office Chair"/>
        <s v="Shampoo"/>
        <s v="T-shirt"/>
      </sharedItems>
    </cacheField>
    <cacheField name="[MT1_].[City].[City]" caption="City" numFmtId="0" hierarchy="3" level="1">
      <sharedItems containsSemiMixedTypes="0" containsNonDate="0" containsString="0"/>
    </cacheField>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fieldsUsage count="2">
        <fieldUsage x="-1"/>
        <fieldUsage x="3"/>
      </fieldsUsage>
    </cacheHierarchy>
    <cacheHierarchy uniqueName="[MT1_].[Product Category]" caption="Product Category" attribute="1" defaultMemberUniqueName="[MT1_].[Product Category].[All]" allUniqueName="[MT1_].[Product Category].[All]" dimensionUniqueName="[MT1_]" displayFolder="" count="2" memberValueDatatype="130" unbalanced="0">
      <fieldsUsage count="2">
        <fieldUsage x="-1"/>
        <fieldUsage x="1"/>
      </fieldsUsage>
    </cacheHierarchy>
    <cacheHierarchy uniqueName="[MT1_].[Product Name]" caption="Product Name" attribute="1" defaultMemberUniqueName="[MT1_].[Product Name].[All]" allUniqueName="[MT1_].[Product Name].[All]" dimensionUniqueName="[MT1_]" displayFolder="" count="2" memberValueDatatype="130" unbalanced="0">
      <fieldsUsage count="2">
        <fieldUsage x="-1"/>
        <fieldUsage x="2"/>
      </fieldsUsage>
    </cacheHierarchy>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6030.800961574074" backgroundQuery="1" createdVersion="8" refreshedVersion="8" minRefreshableVersion="3" recordCount="0" supportSubquery="1" supportAdvancedDrill="1" xr:uid="{8AD93869-C895-4898-9532-EEAB4BA53BB4}">
  <cacheSource type="external" connectionId="3"/>
  <cacheFields count="4">
    <cacheField name="[Table2].[Product Category].[Product Category]" caption="Product Category" numFmtId="0" hierarchy="17" level="1">
      <sharedItems count="5">
        <s v="Clothing"/>
        <s v="Electronics"/>
        <s v="Furniture"/>
        <s v="Groceries"/>
        <s v="Stationery"/>
      </sharedItems>
    </cacheField>
    <cacheField name="[Measures].[Sum of Total Sales]" caption="Sum of Total Sales" numFmtId="0" hierarchy="28" level="32767"/>
    <cacheField name="[Measures].[Sum of Profit]" caption="Sum of Profit" numFmtId="0" hierarchy="29" level="32767"/>
    <cacheField name="[MT1_].[City].[City]" caption="City" numFmtId="0" hierarchy="3" level="1">
      <sharedItems containsSemiMixedTypes="0" containsNonDate="0" containsString="0"/>
    </cacheField>
  </cacheFields>
  <cacheHierarchies count="34">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fieldsUsage count="2">
        <fieldUsage x="-1"/>
        <fieldUsage x="3"/>
      </fieldsUsage>
    </cacheHierarchy>
    <cacheHierarchy uniqueName="[MT1_].[Product Category]" caption="Product Category" attribute="1" defaultMemberUniqueName="[MT1_].[Product Category].[All]" allUniqueName="[MT1_].[Product Category].[All]" dimensionUniqueName="[MT1_]" displayFolder="" count="2" memberValueDatatype="130" unbalanced="0"/>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2" memberValueDatatype="130" unbalanced="0">
      <fieldsUsage count="2">
        <fieldUsage x="-1"/>
        <fieldUsage x="0"/>
      </fieldsUsage>
    </cacheHierarchy>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oneField="1" hidden="1">
      <fieldsUsage count="1">
        <fieldUsage x="2"/>
      </fieldsUsage>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hidden="1">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y uniqueName="[Measures].[Sum of Profit Margin]" caption="Sum of Profit Margin" measure="1" displayFolder="" measureGroup="MT1_" count="0" hidden="1">
      <extLst>
        <ext xmlns:x15="http://schemas.microsoft.com/office/spreadsheetml/2010/11/main" uri="{B97F6D7D-B522-45F9-BDA1-12C45D357490}">
          <x15:cacheHierarchy aggregatedColumn="12"/>
        </ext>
      </extLst>
    </cacheHierarchy>
  </cacheHierarchies>
  <kpis count="0"/>
  <dimensions count="3">
    <dimension measure="1" name="Measures" uniqueName="[Measures]" caption="Measures"/>
    <dimension name="MT1_" uniqueName="[MT1_]" caption="MT1_"/>
    <dimension name="Table2" uniqueName="[Table2]" caption="Table2"/>
  </dimensions>
  <measureGroups count="2">
    <measureGroup name="MT1_" caption="MT1_"/>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n Patel" refreshedDate="45824.748650347225" backgroundQuery="1" createdVersion="3" refreshedVersion="8" minRefreshableVersion="3" recordCount="0" supportSubquery="1" supportAdvancedDrill="1" xr:uid="{00C8D50E-6CF7-4AC5-ADF1-7BE09ADAC55A}">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MT1_].[Order ID]" caption="Order ID" attribute="1" defaultMemberUniqueName="[MT1_].[Order ID].[All]" allUniqueName="[MT1_].[Order ID].[All]" dimensionUniqueName="[MT1_]" displayFolder="" count="0" memberValueDatatype="20" unbalanced="0"/>
    <cacheHierarchy uniqueName="[MT1_].[Date]" caption="Date" attribute="1" time="1" defaultMemberUniqueName="[MT1_].[Date].[All]" allUniqueName="[MT1_].[Date].[All]" dimensionUniqueName="[MT1_]" displayFolder="" count="0" memberValueDatatype="7" unbalanced="0"/>
    <cacheHierarchy uniqueName="[MT1_].[Store]" caption="Store" attribute="1" defaultMemberUniqueName="[MT1_].[Store].[All]" allUniqueName="[MT1_].[Store].[All]" dimensionUniqueName="[MT1_]" displayFolder="" count="0" memberValueDatatype="130" unbalanced="0"/>
    <cacheHierarchy uniqueName="[MT1_].[City]" caption="City" attribute="1" defaultMemberUniqueName="[MT1_].[City].[All]" allUniqueName="[MT1_].[City].[All]" dimensionUniqueName="[MT1_]" displayFolder="" count="2" memberValueDatatype="130" unbalanced="0"/>
    <cacheHierarchy uniqueName="[MT1_].[Product Category]" caption="Product Category" attribute="1" defaultMemberUniqueName="[MT1_].[Product Category].[All]" allUniqueName="[MT1_].[Product Category].[All]" dimensionUniqueName="[MT1_]" displayFolder="" count="2" memberValueDatatype="130" unbalanced="0"/>
    <cacheHierarchy uniqueName="[MT1_].[Product Name]" caption="Product Name" attribute="1" defaultMemberUniqueName="[MT1_].[Product Name].[All]" allUniqueName="[MT1_].[Product Name].[All]" dimensionUniqueName="[MT1_]" displayFolder="" count="0" memberValueDatatype="130" unbalanced="0"/>
    <cacheHierarchy uniqueName="[MT1_].[Units Sold]" caption="Units Sold" attribute="1" defaultMemberUniqueName="[MT1_].[Units Sold].[All]" allUniqueName="[MT1_].[Units Sold].[All]" dimensionUniqueName="[MT1_]" displayFolder="" count="0" memberValueDatatype="20" unbalanced="0"/>
    <cacheHierarchy uniqueName="[MT1_].[Unit Price]" caption="Unit Price" attribute="1" defaultMemberUniqueName="[MT1_].[Unit Price].[All]" allUniqueName="[MT1_].[Unit Price].[All]" dimensionUniqueName="[MT1_]" displayFolder="" count="0" memberValueDatatype="20" unbalanced="0"/>
    <cacheHierarchy uniqueName="[MT1_].[Total Sales]" caption="Total Sales" attribute="1" defaultMemberUniqueName="[MT1_].[Total Sales].[All]" allUniqueName="[MT1_].[Total Sales].[All]" dimensionUniqueName="[MT1_]" displayFolder="" count="0" memberValueDatatype="20" unbalanced="0"/>
    <cacheHierarchy uniqueName="[MT1_].[Cost per Unit]" caption="Cost per Unit" attribute="1" defaultMemberUniqueName="[MT1_].[Cost per Unit].[All]" allUniqueName="[MT1_].[Cost per Unit].[All]" dimensionUniqueName="[MT1_]" displayFolder="" count="0" memberValueDatatype="5" unbalanced="0"/>
    <cacheHierarchy uniqueName="[MT1_].[Profit]" caption="Profit" attribute="1" defaultMemberUniqueName="[MT1_].[Profit].[All]" allUniqueName="[MT1_].[Profit].[All]" dimensionUniqueName="[MT1_]" displayFolder="" count="0" memberValueDatatype="5" unbalanced="0"/>
    <cacheHierarchy uniqueName="[MT1_].[Date (Month)]" caption="Date (Month)" attribute="1" defaultMemberUniqueName="[MT1_].[Date (Month)].[All]" allUniqueName="[MT1_].[Date (Month)].[All]" dimensionUniqueName="[MT1_]" displayFolder="" count="2" memberValueDatatype="130" unbalanced="0"/>
    <cacheHierarchy uniqueName="[MT1_].[Profit Margin]" caption="Profit Margin" attribute="1" defaultMemberUniqueName="[MT1_].[Profit Margin].[All]" allUniqueName="[MT1_].[Profit Margin].[All]" dimensionUniqueName="[MT1_]" displayFolder="" count="0" memberValueDatatype="5" unbalanced="0"/>
    <cacheHierarchy uniqueName="[Table2].[Order ID]" caption="Order ID" attribute="1" defaultMemberUniqueName="[Table2].[Order ID].[All]" allUniqueName="[Table2].[Order ID].[All]" dimensionUniqueName="[Table2]" displayFolder="" count="0" memberValueDatatype="20" unbalanced="0"/>
    <cacheHierarchy uniqueName="[Table2].[Date]" caption="Date" attribute="1" time="1" defaultMemberUniqueName="[Table2].[Date].[All]" allUniqueName="[Table2].[Date].[All]" dimensionUniqueName="[Table2]" displayFolder="" count="0" memberValueDatatype="7" unbalanced="0"/>
    <cacheHierarchy uniqueName="[Table2].[Store]" caption="Store" attribute="1" defaultMemberUniqueName="[Table2].[Store].[All]" allUniqueName="[Table2].[Store].[All]" dimensionUniqueName="[Table2]" displayFolder="" count="0" memberValueDatatype="130" unbalanced="0"/>
    <cacheHierarchy uniqueName="[Table2].[City]" caption="City" attribute="1" defaultMemberUniqueName="[Table2].[City].[All]" allUniqueName="[Table2].[City].[All]" dimensionUniqueName="[Table2]" displayFolder="" count="0" memberValueDatatype="130" unbalanced="0"/>
    <cacheHierarchy uniqueName="[Table2].[Product Category]" caption="Product Category" attribute="1" defaultMemberUniqueName="[Table2].[Product Category].[All]" allUniqueName="[Table2].[Product 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Units Sold]" caption="Units Sold" attribute="1" defaultMemberUniqueName="[Table2].[Units Sold].[All]" allUniqueName="[Table2].[Units Sold].[All]" dimensionUniqueName="[Table2]" displayFolder="" count="0" memberValueDatatype="20" unbalanced="0"/>
    <cacheHierarchy uniqueName="[Table2].[Unit Price]" caption="Unit Price" attribute="1" defaultMemberUniqueName="[Table2].[Unit Price].[All]" allUniqueName="[Table2].[Unit Price].[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Cost per Unit]" caption="Cost per Unit" attribute="1" defaultMemberUniqueName="[Table2].[Cost per Unit].[All]" allUniqueName="[Table2].[Cost per Uni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MT1_].[Date (Month Index)]" caption="Date (Month Index)" attribute="1" defaultMemberUniqueName="[MT1_].[Date (Month Index)].[All]" allUniqueName="[MT1_].[Date (Month Index)].[All]" dimensionUniqueName="[MT1_]" displayFolder="" count="0" memberValueDatatype="20" unbalanced="0" hidden="1"/>
    <cacheHierarchy uniqueName="[Measures].[__XL_Count MT1_]" caption="__XL_Count MT1_" measure="1" displayFolder="" measureGroup="MT1_"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Sales]" caption="Sum of Total Sales" measure="1" displayFolder="" measureGroup="Table2" count="0" hidden="1">
      <extLst>
        <ext xmlns:x15="http://schemas.microsoft.com/office/spreadsheetml/2010/11/main" uri="{B97F6D7D-B522-45F9-BDA1-12C45D357490}">
          <x15:cacheHierarchy aggregatedColumn="21"/>
        </ext>
      </extLst>
    </cacheHierarchy>
    <cacheHierarchy uniqueName="[Measures].[Sum of Profit]" caption="Sum of Profit" measure="1" displayFolder="" measureGroup="Table2" count="0" hidden="1">
      <extLst>
        <ext xmlns:x15="http://schemas.microsoft.com/office/spreadsheetml/2010/11/main" uri="{B97F6D7D-B522-45F9-BDA1-12C45D357490}">
          <x15:cacheHierarchy aggregatedColumn="23"/>
        </ext>
      </extLst>
    </cacheHierarchy>
    <cacheHierarchy uniqueName="[Measures].[Sum of Total Sales 2]" caption="Sum of Total Sales 2" measure="1" displayFolder="" measureGroup="MT1_" count="0" hidden="1">
      <extLst>
        <ext xmlns:x15="http://schemas.microsoft.com/office/spreadsheetml/2010/11/main" uri="{B97F6D7D-B522-45F9-BDA1-12C45D357490}">
          <x15:cacheHierarchy aggregatedColumn="8"/>
        </ext>
      </extLst>
    </cacheHierarchy>
    <cacheHierarchy uniqueName="[Measures].[Sum of Profit 2]" caption="Sum of Profit 2" measure="1" displayFolder="" measureGroup="MT1_" count="0" hidden="1">
      <extLst>
        <ext xmlns:x15="http://schemas.microsoft.com/office/spreadsheetml/2010/11/main" uri="{B97F6D7D-B522-45F9-BDA1-12C45D357490}">
          <x15:cacheHierarchy aggregatedColumn="10"/>
        </ext>
      </extLst>
    </cacheHierarchy>
    <cacheHierarchy uniqueName="[Measures].[Sum of Order ID]" caption="Sum of Order ID" measure="1" displayFolder="" measureGroup="MT1_"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7177921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9F3542-A1BF-461B-A072-472C28358EB7}" name="PivotTable1" cacheId="6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0">
  <location ref="A3:C9" firstHeaderRow="0" firstDataRow="1" firstDataCol="1"/>
  <pivotFields count="4">
    <pivotField axis="axisRow" allDrilled="1" subtotalTop="0" showAll="0"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Sum of Total Sales" fld="1" baseField="0" baseItem="0"/>
    <dataField name="Sum of Profit" fld="2" baseField="0" baseItem="0"/>
  </dataFields>
  <formats count="6">
    <format dxfId="13">
      <pivotArea type="all" dataOnly="0" outline="0" fieldPosition="0"/>
    </format>
    <format dxfId="14">
      <pivotArea outline="0" collapsedLevelsAreSubtotals="1" fieldPosition="0"/>
    </format>
    <format dxfId="15">
      <pivotArea field="0" type="button" dataOnly="0" labelOnly="1" outline="0" axis="axisRow" fieldPosition="0"/>
    </format>
    <format dxfId="16">
      <pivotArea dataOnly="0" labelOnly="1" fieldPosition="0">
        <references count="1">
          <reference field="0" count="0"/>
        </references>
      </pivotArea>
    </format>
    <format dxfId="17">
      <pivotArea dataOnly="0" labelOnly="1" grandRow="1" outline="0" fieldPosition="0"/>
    </format>
    <format dxfId="18">
      <pivotArea dataOnly="0" labelOnly="1" outline="0" fieldPosition="0">
        <references count="1">
          <reference field="4294967294" count="2">
            <x v="0"/>
            <x v="1"/>
          </reference>
        </references>
      </pivotArea>
    </format>
  </formats>
  <chartFormats count="2">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MT1_]"/>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0BDA90-FBD3-4C22-841B-8941AD1F7662}" name="PivotTable1" cacheId="5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A3:C9" firstHeaderRow="0" firstDataRow="1" firstDataCol="1"/>
  <pivotFields count="3">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dataField="1" subtotalTop="0" showAll="0" defaultSubtotal="0"/>
  </pivotFields>
  <rowFields count="1">
    <field x="1"/>
  </rowFields>
  <rowItems count="6">
    <i>
      <x v="1"/>
    </i>
    <i>
      <x v="3"/>
    </i>
    <i>
      <x v="4"/>
    </i>
    <i>
      <x v="2"/>
    </i>
    <i>
      <x/>
    </i>
    <i t="grand">
      <x/>
    </i>
  </rowItems>
  <colFields count="1">
    <field x="-2"/>
  </colFields>
  <colItems count="2">
    <i>
      <x/>
    </i>
    <i i="1">
      <x v="1"/>
    </i>
  </colItems>
  <dataFields count="2">
    <dataField name="Sum of Profit" fld="0" baseField="0" baseItem="0"/>
    <dataField name="Sum of Total Sales" fld="2" baseField="0" baseItem="0"/>
  </dataFields>
  <formats count="2">
    <format dxfId="22">
      <pivotArea collapsedLevelsAreSubtotals="1" fieldPosition="0">
        <references count="1">
          <reference field="1" count="1">
            <x v="1"/>
          </reference>
        </references>
      </pivotArea>
    </format>
    <format dxfId="23">
      <pivotArea dataOnly="0" labelOnly="1" fieldPosition="0">
        <references count="1">
          <reference field="1" count="1">
            <x v="1"/>
          </reference>
        </references>
      </pivotArea>
    </format>
  </formats>
  <chartFormats count="5">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pivotArea type="data" outline="0" fieldPosition="0">
        <references count="2">
          <reference field="4294967294" count="1" selected="0">
            <x v="0"/>
          </reference>
          <reference field="1" count="1" selected="0">
            <x v="1"/>
          </reference>
        </references>
      </pivotArea>
    </chartFormat>
    <chartFormat chart="5" format="9">
      <pivotArea type="data" outline="0" fieldPosition="0">
        <references count="2">
          <reference field="4294967294" count="1" selected="0">
            <x v="0"/>
          </reference>
          <reference field="1" count="1" selected="0">
            <x v="2"/>
          </reference>
        </references>
      </pivotArea>
    </chartFormat>
    <chartFormat chart="5" format="10">
      <pivotArea type="data" outline="0" fieldPosition="0">
        <references count="2">
          <reference field="4294967294" count="1" selected="0">
            <x v="0"/>
          </reference>
          <reference field="1" count="1" selected="0">
            <x v="0"/>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D9BBD2-071B-462E-A743-46173A94B3DD}" name="PivotTable2" cacheId="5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6">
  <location ref="A3:E10" firstHeaderRow="1" firstDataRow="2" firstDataCol="1"/>
  <pivotFields count="4">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1"/>
  </colFields>
  <colItems count="4">
    <i>
      <x/>
    </i>
    <i>
      <x v="1"/>
    </i>
    <i>
      <x v="2"/>
    </i>
    <i t="grand">
      <x/>
    </i>
  </colItems>
  <dataFields count="1">
    <dataField name="Sum of Total Sales" fld="2" baseField="0" baseItem="0"/>
  </dataFields>
  <chartFormats count="11">
    <chartFormat chart="7" format="6" series="1">
      <pivotArea type="data" outline="0" fieldPosition="0">
        <references count="2">
          <reference field="4294967294" count="1" selected="0">
            <x v="0"/>
          </reference>
          <reference field="1" count="1" selected="0">
            <x v="0"/>
          </reference>
        </references>
      </pivotArea>
    </chartFormat>
    <chartFormat chart="7" format="7" series="1">
      <pivotArea type="data" outline="0" fieldPosition="0">
        <references count="2">
          <reference field="4294967294" count="1" selected="0">
            <x v="0"/>
          </reference>
          <reference field="1" count="1" selected="0">
            <x v="1"/>
          </reference>
        </references>
      </pivotArea>
    </chartFormat>
    <chartFormat chart="7" format="8" series="1">
      <pivotArea type="data" outline="0" fieldPosition="0">
        <references count="2">
          <reference field="4294967294" count="1" selected="0">
            <x v="0"/>
          </reference>
          <reference field="1" count="1" selected="0">
            <x v="2"/>
          </reference>
        </references>
      </pivotArea>
    </chartFormat>
    <chartFormat chart="7" format="9">
      <pivotArea type="data" outline="0" fieldPosition="0">
        <references count="3">
          <reference field="4294967294" count="1" selected="0">
            <x v="0"/>
          </reference>
          <reference field="0" count="1" selected="0">
            <x v="0"/>
          </reference>
          <reference field="1" count="1" selected="0">
            <x v="1"/>
          </reference>
        </references>
      </pivotArea>
    </chartFormat>
    <chartFormat chart="7" format="10">
      <pivotArea type="data" outline="0" fieldPosition="0">
        <references count="3">
          <reference field="4294967294" count="1" selected="0">
            <x v="0"/>
          </reference>
          <reference field="0" count="1" selected="0">
            <x v="0"/>
          </reference>
          <reference field="1" count="1" selected="0">
            <x v="0"/>
          </reference>
        </references>
      </pivotArea>
    </chartFormat>
    <chartFormat chart="7" format="11">
      <pivotArea type="data" outline="0" fieldPosition="0">
        <references count="3">
          <reference field="4294967294" count="1" selected="0">
            <x v="0"/>
          </reference>
          <reference field="0" count="1" selected="0">
            <x v="2"/>
          </reference>
          <reference field="1" count="1" selected="0">
            <x v="0"/>
          </reference>
        </references>
      </pivotArea>
    </chartFormat>
    <chartFormat chart="7" format="12">
      <pivotArea type="data" outline="0" fieldPosition="0">
        <references count="3">
          <reference field="4294967294" count="1" selected="0">
            <x v="0"/>
          </reference>
          <reference field="0" count="1" selected="0">
            <x v="3"/>
          </reference>
          <reference field="1" count="1" selected="0">
            <x v="0"/>
          </reference>
        </references>
      </pivotArea>
    </chartFormat>
    <chartFormat chart="7" format="13">
      <pivotArea type="data" outline="0" fieldPosition="0">
        <references count="3">
          <reference field="4294967294" count="1" selected="0">
            <x v="0"/>
          </reference>
          <reference field="0" count="1" selected="0">
            <x v="1"/>
          </reference>
          <reference field="1" count="1" selected="0">
            <x v="1"/>
          </reference>
        </references>
      </pivotArea>
    </chartFormat>
    <chartFormat chart="7" format="14">
      <pivotArea type="data" outline="0" fieldPosition="0">
        <references count="3">
          <reference field="4294967294" count="1" selected="0">
            <x v="0"/>
          </reference>
          <reference field="0" count="1" selected="0">
            <x v="1"/>
          </reference>
          <reference field="1" count="1" selected="0">
            <x v="0"/>
          </reference>
        </references>
      </pivotArea>
    </chartFormat>
    <chartFormat chart="7" format="15">
      <pivotArea type="data" outline="0" fieldPosition="0">
        <references count="3">
          <reference field="4294967294" count="1" selected="0">
            <x v="0"/>
          </reference>
          <reference field="0" count="1" selected="0">
            <x v="2"/>
          </reference>
          <reference field="1" count="1" selected="0">
            <x v="1"/>
          </reference>
        </references>
      </pivotArea>
    </chartFormat>
    <chartFormat chart="7" format="16">
      <pivotArea type="data" outline="0" fieldPosition="0">
        <references count="3">
          <reference field="4294967294" count="1" selected="0">
            <x v="0"/>
          </reference>
          <reference field="0" count="1" selected="0">
            <x v="3"/>
          </reference>
          <reference field="1" count="1" selected="0">
            <x v="1"/>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330F55-EB01-442D-8504-9B53CB62D67B}" name="PivotTable3" cacheId="6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A3:B9" firstHeaderRow="1" firstDataRow="1" firstDataCol="1"/>
  <pivotFields count="4">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2"/>
    </i>
    <i>
      <x v="1"/>
    </i>
    <i>
      <x v="3"/>
    </i>
    <i>
      <x v="4"/>
    </i>
    <i>
      <x/>
    </i>
    <i t="grand">
      <x/>
    </i>
  </rowItems>
  <colItems count="1">
    <i/>
  </colItems>
  <dataFields count="1">
    <dataField name="Sum of Total Sales" fld="0" baseField="0" baseItem="0"/>
  </dataFields>
  <formats count="2">
    <format dxfId="19">
      <pivotArea collapsedLevelsAreSubtotals="1" fieldPosition="0">
        <references count="1">
          <reference field="2" count="1">
            <x v="2"/>
          </reference>
        </references>
      </pivotArea>
    </format>
    <format dxfId="20">
      <pivotArea dataOnly="0" labelOnly="1" fieldPosition="0">
        <references count="1">
          <reference field="2" count="1">
            <x v="2"/>
          </reference>
        </references>
      </pivotArea>
    </format>
  </formats>
  <chartFormats count="1">
    <chartFormat chart="3" format="6"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30">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F19719-C910-40C5-AACB-6442E4D8CBD2}" name="PivotTable4" cacheId="6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B9"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2"/>
    </i>
    <i>
      <x v="3"/>
    </i>
    <i>
      <x v="4"/>
    </i>
    <i>
      <x/>
    </i>
    <i t="grand">
      <x/>
    </i>
  </rowItems>
  <colItems count="1">
    <i/>
  </colItems>
  <dataFields count="1">
    <dataField name="Sum of Profit" fld="1" baseField="0" baseItem="0"/>
  </dataFields>
  <formats count="1">
    <format dxfId="21">
      <pivotArea dataOnly="0" fieldPosition="0">
        <references count="1">
          <reference field="0" count="1">
            <x v="1"/>
          </reference>
        </references>
      </pivotArea>
    </format>
  </format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F066883-0F3B-4CE2-AEE6-DB87F8D0B18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2">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1"/>
    </i>
    <i>
      <x v="3"/>
    </i>
    <i>
      <x v="4"/>
    </i>
    <i>
      <x v="2"/>
    </i>
    <i>
      <x/>
    </i>
    <i t="grand">
      <x/>
    </i>
  </rowItems>
  <colItems count="1">
    <i/>
  </colItems>
  <dataFields count="1">
    <dataField name="Sum of Total Sales" fld="1"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D8BBDD-ABA1-4D2A-967F-47A058DC96E1}"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2">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1"/>
    </i>
    <i>
      <x v="3"/>
    </i>
    <i>
      <x/>
    </i>
    <i>
      <x v="4"/>
    </i>
    <i>
      <x v="2"/>
    </i>
    <i t="grand">
      <x/>
    </i>
  </rowItems>
  <colItems count="1">
    <i/>
  </colItems>
  <dataFields count="1">
    <dataField name="Sum of Profit Margin" fld="1" baseField="0" baseItem="0"/>
  </dataFields>
  <formats count="2">
    <format dxfId="39">
      <pivotArea collapsedLevelsAreSubtotals="1" fieldPosition="0">
        <references count="1">
          <reference field="0" count="1">
            <x v="1"/>
          </reference>
        </references>
      </pivotArea>
    </format>
    <format dxfId="38">
      <pivotArea dataOnly="0" labelOnly="1" fieldPosition="0">
        <references count="1">
          <reference field="0" count="1">
            <x v="1"/>
          </reference>
        </references>
      </pivotArea>
    </format>
  </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_01_Sales Perfomance Analysis for a retail Chain.xlsm!MT1_">
        <x15:activeTabTopLevelEntity name="[MT1_]"/>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CD21EF3A-C895-4B70-ABC9-DF978C95767E}" autoFormatId="16" applyNumberFormats="0" applyBorderFormats="0" applyFontFormats="0" applyPatternFormats="0" applyAlignmentFormats="0" applyWidthHeightFormats="0">
  <queryTableRefresh nextId="13" unboundColumnsRight="1">
    <queryTableFields count="12">
      <queryTableField id="1" name="Order ID" tableColumnId="1"/>
      <queryTableField id="2" name="Date.1" tableColumnId="2"/>
      <queryTableField id="3" name="Store" tableColumnId="3"/>
      <queryTableField id="4" name="City" tableColumnId="4"/>
      <queryTableField id="5" name="Product Category" tableColumnId="5"/>
      <queryTableField id="6" name="Product Name" tableColumnId="6"/>
      <queryTableField id="7" name="Units Sold" tableColumnId="7"/>
      <queryTableField id="8" name="Unit Price" tableColumnId="8"/>
      <queryTableField id="9" name="Total Sales" tableColumnId="9"/>
      <queryTableField id="10" name="Cost per Unit" tableColumnId="10"/>
      <queryTableField id="11" name="Profit"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0D0F528E-7694-4CDC-89F4-6D8C68DA86DD}" sourceName="[MT1_].[Date (Month)]">
  <pivotTables>
    <pivotTable tabId="6" name="PivotTable1"/>
    <pivotTable tabId="7" name="PivotTable2"/>
    <pivotTable tabId="9" name="PivotTable4"/>
    <pivotTable tabId="8" name="PivotTable3"/>
    <pivotTable tabId="5" name="PivotTable1"/>
  </pivotTables>
  <data>
    <olap pivotCacheId="1717792128">
      <levels count="2">
        <level uniqueName="[MT1_].[Date (Month)].[(All)]" sourceCaption="(All)" count="0"/>
        <level uniqueName="[MT1_].[Date (Month)].[Date (Month)]" sourceCaption="Date (Month)" count="3">
          <ranges>
            <range startItem="0">
              <i n="[MT1_].[Date (Month)].&amp;[Jan]" c="Jan"/>
              <i n="[MT1_].[Date (Month)].&amp;[Feb]" c="Feb"/>
              <i n="[MT1_].[Date (Month)].&amp;[Mar]" c="Mar"/>
            </range>
          </ranges>
        </level>
      </levels>
      <selections count="1">
        <selection n="[MT1_].[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4F3BEC8-EA3A-4F0F-9827-2D4AEA2483FB}" sourceName="[MT1_].[City]">
  <pivotTables>
    <pivotTable tabId="6" name="PivotTable1"/>
    <pivotTable tabId="7" name="PivotTable2"/>
    <pivotTable tabId="9" name="PivotTable4"/>
    <pivotTable tabId="8" name="PivotTable3"/>
    <pivotTable tabId="5" name="PivotTable1"/>
  </pivotTables>
  <data>
    <olap pivotCacheId="1717792128">
      <levels count="2">
        <level uniqueName="[MT1_].[City].[(All)]" sourceCaption="(All)" count="0"/>
        <level uniqueName="[MT1_].[City].[City]" sourceCaption="City" count="5">
          <ranges>
            <range startItem="0">
              <i n="[MT1_].[City].&amp;[Ahmedabad]" c="Ahmedabad"/>
              <i n="[MT1_].[City].&amp;[Bangalore]" c="Bangalore"/>
              <i n="[MT1_].[City].&amp;[Chennai]" c="Chennai"/>
              <i n="[MT1_].[City].&amp;[Delhi]" c="Delhi"/>
              <i n="[MT1_].[City].&amp;[Mumbai]" c="Mumbai"/>
            </range>
          </ranges>
        </level>
      </levels>
      <selections count="1">
        <selection n="[MT1_].[Ci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07F049F-CAD3-48D9-B564-73878FBBE975}" sourceName="[MT1_].[Product Category]">
  <pivotTables>
    <pivotTable tabId="6" name="PivotTable1"/>
    <pivotTable tabId="7" name="PivotTable2"/>
    <pivotTable tabId="9" name="PivotTable4"/>
    <pivotTable tabId="8" name="PivotTable3"/>
    <pivotTable tabId="5" name="PivotTable1"/>
  </pivotTables>
  <data>
    <olap pivotCacheId="1717792128">
      <levels count="2">
        <level uniqueName="[MT1_].[Product Category].[(All)]" sourceCaption="(All)" count="0"/>
        <level uniqueName="[MT1_].[Product Category].[Product Category]" sourceCaption="Product Category" count="5">
          <ranges>
            <range startItem="0">
              <i n="[MT1_].[Product Category].&amp;[Clothing]" c="Clothing"/>
              <i n="[MT1_].[Product Category].&amp;[Electronics]" c="Electronics"/>
              <i n="[MT1_].[Product Category].&amp;[Furniture]" c="Furniture"/>
              <i n="[MT1_].[Product Category].&amp;[Groceries]" c="Groceries"/>
              <i n="[MT1_].[Product Category].&amp;[Stationery]" c="Stationery"/>
            </range>
          </ranges>
        </level>
      </levels>
      <selections count="1">
        <selection n="[MT1_].[Product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EA08A3E9-088F-4195-A99D-E3325BB32252}" cache="Slicer_Date__Month" caption="Date (Month)" level="1" style="SlicerStyleDark2" rowHeight="247650"/>
  <slicer name="City" xr10:uid="{F3B7C227-2703-4F53-AF38-ADA49ECE0E32}" cache="Slicer_City" caption="City" level="1" style="SlicerStyleDark1" rowHeight="247650"/>
  <slicer name="Product Category" xr10:uid="{30753618-4C76-428F-82D4-71D7423756D3}" cache="Slicer_Product_Category" caption="Product Category" level="1" style="SlicerStyleDark3"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03D142D-2B4B-42BB-831A-7C84CDB38180}" name="MT1_" displayName="MT1_" ref="A1:L649" tableType="queryTable" totalsRowShown="0" headerRowDxfId="37" dataDxfId="36">
  <autoFilter ref="A1:L649" xr:uid="{203D142D-2B4B-42BB-831A-7C84CDB38180}"/>
  <tableColumns count="12">
    <tableColumn id="1" xr3:uid="{3A5E1D7D-803A-4CD5-A5D5-1F313D9DC5A2}" uniqueName="1" name="Order ID" queryTableFieldId="1" dataDxfId="35"/>
    <tableColumn id="2" xr3:uid="{DD7D22A7-C3F0-4195-BB36-E66C9B8A17C2}" uniqueName="2" name="Date" queryTableFieldId="2" dataDxfId="34"/>
    <tableColumn id="3" xr3:uid="{9EAA421A-67C2-4E7E-94E4-8DEFEC7A9AB7}" uniqueName="3" name="Store" queryTableFieldId="3" dataDxfId="33"/>
    <tableColumn id="4" xr3:uid="{B530AE4D-FD5F-49EE-B070-6C8EC1E375C1}" uniqueName="4" name="City" queryTableFieldId="4" dataDxfId="32"/>
    <tableColumn id="5" xr3:uid="{BCDEF087-5EE9-4D62-8302-69640B1E3F91}" uniqueName="5" name="Product Category" queryTableFieldId="5" dataDxfId="31"/>
    <tableColumn id="6" xr3:uid="{F378067B-68F2-467C-883A-0E5DD9BDEA92}" uniqueName="6" name="Product Name" queryTableFieldId="6" dataDxfId="30"/>
    <tableColumn id="7" xr3:uid="{305DD9EA-FD34-4DE4-8F53-6A228A654F14}" uniqueName="7" name="Units Sold" queryTableFieldId="7" dataDxfId="29"/>
    <tableColumn id="8" xr3:uid="{50200830-85BB-4C94-9E04-4356B73CE636}" uniqueName="8" name="Unit Price" queryTableFieldId="8" dataDxfId="28"/>
    <tableColumn id="9" xr3:uid="{C09C48A9-E706-4DBE-AABF-F2B9808CFD5B}" uniqueName="9" name="Total Sales" queryTableFieldId="9" dataDxfId="27"/>
    <tableColumn id="10" xr3:uid="{5B11562C-3E44-4955-9B23-F2E89498B2AC}" uniqueName="10" name="Cost per Unit" queryTableFieldId="10" dataDxfId="26"/>
    <tableColumn id="11" xr3:uid="{0C062F2D-DC82-4A69-A308-7F7A2BD36203}" uniqueName="11" name="Profit" queryTableFieldId="11" dataDxfId="25"/>
    <tableColumn id="12" xr3:uid="{80FBED44-A531-4E8A-876D-8761098BE501}" uniqueName="12" name="Profit Margin" queryTableFieldId="12" dataDxfId="24">
      <calculatedColumnFormula>MT1_[[#This Row],[Profit]]/MT1_[[#This Row],[Total Sales]]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13E11A-52F7-49DD-85F2-A9FA57A75343}" name="Table2" displayName="Table2" ref="A1:K649" totalsRowShown="0" headerRowDxfId="12" dataDxfId="11">
  <autoFilter ref="A1:K649" xr:uid="{7F13E11A-52F7-49DD-85F2-A9FA57A75343}"/>
  <tableColumns count="11">
    <tableColumn id="1" xr3:uid="{336366C3-1452-4874-B1E0-492CD5E1CFB9}" name="Order ID" dataDxfId="10"/>
    <tableColumn id="2" xr3:uid="{806F97B2-6920-4AC0-8051-69E58F16B732}" name="Date" dataDxfId="9"/>
    <tableColumn id="3" xr3:uid="{397E6FF5-B73B-451B-BE84-614630A91344}" name="Store" dataDxfId="8"/>
    <tableColumn id="4" xr3:uid="{B6302CEE-1B5D-4731-9F8B-B38B8B14768D}" name="City" dataDxfId="7"/>
    <tableColumn id="5" xr3:uid="{F52C08AA-34C7-4070-89E1-BB03705713F3}" name="Product Category" dataDxfId="6"/>
    <tableColumn id="6" xr3:uid="{A96CA483-3FC4-4B22-A76C-1B26EEBA6163}" name="Product Name" dataDxfId="5">
      <calculatedColumnFormula>CHOOSE(RANDBETWEEN(1,10),
 "Smartphone","Laptop","Rice 5kg","Cooking Oil 1L",
 "Office Chair","Table","T-shirt","Notebook",
 "Desk Lamp","Shampoo")</calculatedColumnFormula>
    </tableColumn>
    <tableColumn id="7" xr3:uid="{1FE8E7A1-F4F3-4297-87F4-67BE15876AE2}" name="Units Sold" dataDxfId="4">
      <calculatedColumnFormula>RANDBETWEEN(1,100)</calculatedColumnFormula>
    </tableColumn>
    <tableColumn id="8" xr3:uid="{64D5EF84-1CE9-49A0-A8B6-B6390BDBB74B}" name="Unit Price" dataDxfId="3">
      <calculatedColumnFormula>CHOOSE(RANDBETWEEN(1,10), 15000, 30000, 250, 500, 1200, 700, 300, 50, 900, 150)</calculatedColumnFormula>
    </tableColumn>
    <tableColumn id="9" xr3:uid="{3040D4D0-C6BB-48CD-AB2F-F3DE5B4C5892}" name="Total Sales" dataDxfId="2">
      <calculatedColumnFormula>G2 * H2</calculatedColumnFormula>
    </tableColumn>
    <tableColumn id="10" xr3:uid="{D66B06E8-D6D8-4D51-A969-973955EFCF5F}" name="Cost per Unit" dataDxfId="1">
      <calculatedColumnFormula>Table2[[#This Row],[Unit Price]] * RANDBETWEEN(70,90)/100</calculatedColumnFormula>
    </tableColumn>
    <tableColumn id="11" xr3:uid="{5DDE35A6-4E72-4DBE-8ACF-F2450E527C87}" name="Profit" dataDxfId="0">
      <calculatedColumnFormula>(Table2[[#This Row],[Unit Price]] - Table2[[#This Row],[Cost per Unit]]) * Table2[[#This Row],[Units Sold]]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6BD7-1B51-45F6-BD2F-2893B578FEC2}">
  <sheetPr>
    <tabColor rgb="FFFF0000"/>
    <pageSetUpPr fitToPage="1"/>
  </sheetPr>
  <dimension ref="A1:Z4"/>
  <sheetViews>
    <sheetView zoomScale="80" zoomScaleNormal="80" workbookViewId="0">
      <selection sqref="A1:W35"/>
    </sheetView>
  </sheetViews>
  <sheetFormatPr defaultRowHeight="14.4" x14ac:dyDescent="0.3"/>
  <cols>
    <col min="1" max="2" width="8.88671875" style="35"/>
    <col min="3" max="3" width="8.88671875" style="35" customWidth="1"/>
    <col min="4" max="4" width="28.6640625" style="35" bestFit="1" customWidth="1"/>
    <col min="5" max="18" width="8.88671875" style="35"/>
    <col min="19" max="19" width="8.88671875" style="35" customWidth="1"/>
    <col min="20" max="16384" width="8.88671875" style="35"/>
  </cols>
  <sheetData>
    <row r="1" spans="1:26" x14ac:dyDescent="0.3">
      <c r="A1" s="36"/>
      <c r="B1" s="36"/>
      <c r="C1" s="36"/>
      <c r="D1" s="36"/>
      <c r="E1" s="36"/>
      <c r="F1" s="36"/>
      <c r="G1" s="36"/>
      <c r="H1" s="36"/>
      <c r="I1" s="36"/>
      <c r="J1" s="36"/>
      <c r="K1" s="36"/>
      <c r="L1" s="36"/>
      <c r="M1" s="36"/>
      <c r="N1" s="36"/>
      <c r="O1" s="36"/>
      <c r="P1" s="36"/>
      <c r="Q1" s="36"/>
      <c r="R1" s="36"/>
      <c r="S1" s="36"/>
      <c r="T1" s="36"/>
      <c r="U1" s="36"/>
      <c r="V1" s="36"/>
      <c r="W1" s="36"/>
      <c r="X1" s="36"/>
      <c r="Y1" s="36"/>
      <c r="Z1" s="36"/>
    </row>
    <row r="2" spans="1:26" ht="23.4" x14ac:dyDescent="0.45">
      <c r="A2" s="37"/>
      <c r="B2" s="37"/>
      <c r="C2" s="37"/>
      <c r="D2" s="38"/>
      <c r="E2" s="37"/>
      <c r="F2" s="37"/>
      <c r="G2" s="37"/>
      <c r="H2" s="37"/>
      <c r="I2" s="37"/>
      <c r="J2" s="37"/>
      <c r="K2" s="36"/>
      <c r="L2" s="36"/>
      <c r="M2" s="36"/>
      <c r="N2" s="36"/>
      <c r="O2" s="36"/>
      <c r="P2" s="36"/>
      <c r="Q2" s="36"/>
      <c r="R2" s="36"/>
      <c r="S2" s="36"/>
      <c r="T2" s="36"/>
      <c r="U2" s="36"/>
      <c r="V2" s="36"/>
      <c r="W2" s="36"/>
      <c r="X2" s="36"/>
      <c r="Y2" s="36"/>
      <c r="Z2" s="36"/>
    </row>
    <row r="3" spans="1:26" ht="23.4" x14ac:dyDescent="0.45">
      <c r="A3" s="37"/>
      <c r="B3" s="37"/>
      <c r="C3" s="37"/>
      <c r="D3" s="38"/>
      <c r="E3" s="37"/>
      <c r="F3" s="37"/>
      <c r="G3" s="37"/>
      <c r="H3" s="37"/>
      <c r="I3" s="37"/>
      <c r="J3" s="37"/>
      <c r="K3" s="36"/>
      <c r="L3" s="36"/>
      <c r="M3" s="36"/>
      <c r="N3" s="36"/>
      <c r="O3" s="36"/>
      <c r="P3" s="36"/>
      <c r="Q3" s="36"/>
      <c r="R3" s="36"/>
      <c r="S3" s="36"/>
      <c r="T3" s="36"/>
      <c r="U3" s="36"/>
      <c r="V3" s="36"/>
      <c r="W3" s="36"/>
      <c r="X3" s="36"/>
      <c r="Y3" s="36"/>
      <c r="Z3" s="36"/>
    </row>
    <row r="4" spans="1:26" x14ac:dyDescent="0.3">
      <c r="A4" s="37"/>
      <c r="B4" s="37"/>
      <c r="C4" s="37"/>
      <c r="D4" s="37"/>
      <c r="E4" s="37"/>
      <c r="F4" s="37"/>
      <c r="G4" s="37"/>
      <c r="H4" s="37"/>
      <c r="I4" s="37"/>
      <c r="J4" s="37"/>
      <c r="K4" s="36"/>
      <c r="L4" s="36"/>
      <c r="M4" s="36"/>
      <c r="N4" s="36"/>
      <c r="O4" s="36"/>
      <c r="P4" s="36"/>
      <c r="Q4" s="36"/>
      <c r="R4" s="36"/>
      <c r="S4" s="36"/>
      <c r="T4" s="36"/>
      <c r="U4" s="36"/>
      <c r="V4" s="36"/>
      <c r="W4" s="36"/>
      <c r="X4" s="36"/>
      <c r="Y4" s="36"/>
      <c r="Z4" s="36"/>
    </row>
  </sheetData>
  <pageMargins left="0.70866141732283472" right="0.70866141732283472" top="0.74803149606299213" bottom="0.74803149606299213" header="0.31496062992125984" footer="0.31496062992125984"/>
  <pageSetup paperSize="9" scale="58" orientation="landscape" horizontalDpi="1200" verticalDpi="120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E27C0-44AA-4327-8621-06FF12FC4CEF}">
  <dimension ref="A3:C9"/>
  <sheetViews>
    <sheetView zoomScaleNormal="100" workbookViewId="0">
      <selection activeCell="M8" sqref="M8"/>
    </sheetView>
  </sheetViews>
  <sheetFormatPr defaultRowHeight="14.4" x14ac:dyDescent="0.3"/>
  <cols>
    <col min="1" max="1" width="13.5546875" bestFit="1" customWidth="1"/>
    <col min="2" max="2" width="18" bestFit="1" customWidth="1"/>
    <col min="3" max="3" width="12.88671875" bestFit="1" customWidth="1"/>
  </cols>
  <sheetData>
    <row r="3" spans="1:3" ht="15.6" x14ac:dyDescent="0.3">
      <c r="A3" s="24" t="s">
        <v>37</v>
      </c>
      <c r="B3" s="25" t="s">
        <v>39</v>
      </c>
      <c r="C3" s="25" t="s">
        <v>40</v>
      </c>
    </row>
    <row r="4" spans="1:3" ht="15.6" x14ac:dyDescent="0.3">
      <c r="A4" s="26" t="s">
        <v>28</v>
      </c>
      <c r="B4" s="34">
        <v>44577850</v>
      </c>
      <c r="C4" s="34">
        <v>9533646</v>
      </c>
    </row>
    <row r="5" spans="1:3" ht="15.6" x14ac:dyDescent="0.3">
      <c r="A5" s="26" t="s">
        <v>13</v>
      </c>
      <c r="B5" s="34">
        <v>27522800</v>
      </c>
      <c r="C5" s="34">
        <v>5466062</v>
      </c>
    </row>
    <row r="6" spans="1:3" ht="15.6" x14ac:dyDescent="0.3">
      <c r="A6" s="26" t="s">
        <v>25</v>
      </c>
      <c r="B6" s="34">
        <v>41857500</v>
      </c>
      <c r="C6" s="34">
        <v>8900386.5</v>
      </c>
    </row>
    <row r="7" spans="1:3" ht="15.6" x14ac:dyDescent="0.3">
      <c r="A7" s="26" t="s">
        <v>17</v>
      </c>
      <c r="B7" s="34">
        <v>27628600</v>
      </c>
      <c r="C7" s="34">
        <v>5243319.5</v>
      </c>
    </row>
    <row r="8" spans="1:3" ht="15.6" x14ac:dyDescent="0.3">
      <c r="A8" s="26" t="s">
        <v>30</v>
      </c>
      <c r="B8" s="34">
        <v>40773550</v>
      </c>
      <c r="C8" s="34">
        <v>7831650</v>
      </c>
    </row>
    <row r="9" spans="1:3" ht="15.6" x14ac:dyDescent="0.3">
      <c r="A9" s="26" t="s">
        <v>38</v>
      </c>
      <c r="B9" s="34">
        <v>182360300</v>
      </c>
      <c r="C9" s="34">
        <v>36975064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2EBFC-C7DB-48BD-BEA7-2F40DE7D7FF1}">
  <dimension ref="A3:C9"/>
  <sheetViews>
    <sheetView workbookViewId="0">
      <selection activeCell="C7" sqref="C7"/>
    </sheetView>
  </sheetViews>
  <sheetFormatPr defaultRowHeight="14.4" x14ac:dyDescent="0.3"/>
  <cols>
    <col min="1" max="1" width="12.44140625" bestFit="1" customWidth="1"/>
    <col min="2" max="2" width="11.5546875" bestFit="1" customWidth="1"/>
    <col min="3" max="3" width="16.109375" bestFit="1" customWidth="1"/>
  </cols>
  <sheetData>
    <row r="3" spans="1:3" x14ac:dyDescent="0.3">
      <c r="A3" s="22" t="s">
        <v>37</v>
      </c>
      <c r="B3" t="s">
        <v>40</v>
      </c>
      <c r="C3" t="s">
        <v>39</v>
      </c>
    </row>
    <row r="4" spans="1:3" x14ac:dyDescent="0.3">
      <c r="A4" s="27" t="s">
        <v>34</v>
      </c>
      <c r="B4" s="33">
        <v>7145131.5</v>
      </c>
      <c r="C4" s="33">
        <v>37610550</v>
      </c>
    </row>
    <row r="5" spans="1:3" x14ac:dyDescent="0.3">
      <c r="A5" s="23" t="s">
        <v>16</v>
      </c>
      <c r="B5" s="32">
        <v>7319364.5</v>
      </c>
      <c r="C5" s="32">
        <v>36502000</v>
      </c>
    </row>
    <row r="6" spans="1:3" x14ac:dyDescent="0.3">
      <c r="A6" s="23" t="s">
        <v>12</v>
      </c>
      <c r="B6" s="32">
        <v>7229641</v>
      </c>
      <c r="C6" s="32">
        <v>33528250</v>
      </c>
    </row>
    <row r="7" spans="1:3" x14ac:dyDescent="0.3">
      <c r="A7" s="23" t="s">
        <v>32</v>
      </c>
      <c r="B7" s="32">
        <v>6430999</v>
      </c>
      <c r="C7" s="32">
        <v>30301700</v>
      </c>
    </row>
    <row r="8" spans="1:3" x14ac:dyDescent="0.3">
      <c r="A8" s="23" t="s">
        <v>33</v>
      </c>
      <c r="B8" s="32">
        <v>5623251.5</v>
      </c>
      <c r="C8" s="32">
        <v>29495450</v>
      </c>
    </row>
    <row r="9" spans="1:3" x14ac:dyDescent="0.3">
      <c r="A9" s="23" t="s">
        <v>38</v>
      </c>
      <c r="B9" s="32">
        <v>33748387.5</v>
      </c>
      <c r="C9" s="32">
        <v>167437950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AA87-8DF1-4528-873D-BD27177AF871}">
  <dimension ref="A3:E10"/>
  <sheetViews>
    <sheetView workbookViewId="0">
      <selection activeCell="C8" sqref="C8"/>
    </sheetView>
  </sheetViews>
  <sheetFormatPr defaultRowHeight="14.4" x14ac:dyDescent="0.3"/>
  <cols>
    <col min="1" max="1" width="16.109375" bestFit="1" customWidth="1"/>
    <col min="2" max="2" width="15.5546875" bestFit="1" customWidth="1"/>
    <col min="3" max="4" width="9" bestFit="1" customWidth="1"/>
    <col min="5" max="5" width="10.5546875" bestFit="1" customWidth="1"/>
    <col min="6" max="6" width="9.5546875" bestFit="1" customWidth="1"/>
    <col min="7" max="7" width="10.5546875" bestFit="1" customWidth="1"/>
    <col min="8" max="92" width="10.33203125" bestFit="1" customWidth="1"/>
    <col min="93" max="93" width="10.5546875" bestFit="1" customWidth="1"/>
  </cols>
  <sheetData>
    <row r="3" spans="1:5" x14ac:dyDescent="0.3">
      <c r="A3" s="22" t="s">
        <v>39</v>
      </c>
      <c r="B3" s="22" t="s">
        <v>41</v>
      </c>
    </row>
    <row r="4" spans="1:5" x14ac:dyDescent="0.3">
      <c r="A4" s="22" t="s">
        <v>37</v>
      </c>
      <c r="B4" t="s">
        <v>42</v>
      </c>
      <c r="C4" t="s">
        <v>43</v>
      </c>
      <c r="D4" t="s">
        <v>44</v>
      </c>
      <c r="E4" t="s">
        <v>38</v>
      </c>
    </row>
    <row r="5" spans="1:5" x14ac:dyDescent="0.3">
      <c r="A5" s="23" t="s">
        <v>28</v>
      </c>
      <c r="B5" s="32">
        <v>12829750</v>
      </c>
      <c r="C5" s="32">
        <v>15317850</v>
      </c>
      <c r="D5" s="32">
        <v>10942650</v>
      </c>
      <c r="E5" s="32">
        <v>39090250</v>
      </c>
    </row>
    <row r="6" spans="1:5" x14ac:dyDescent="0.3">
      <c r="A6" s="23" t="s">
        <v>13</v>
      </c>
      <c r="B6" s="32">
        <v>14899200</v>
      </c>
      <c r="C6" s="32">
        <v>14953900</v>
      </c>
      <c r="D6" s="32">
        <v>5607800</v>
      </c>
      <c r="E6" s="32">
        <v>35460900</v>
      </c>
    </row>
    <row r="7" spans="1:5" x14ac:dyDescent="0.3">
      <c r="A7" s="23" t="s">
        <v>25</v>
      </c>
      <c r="B7" s="32">
        <v>8343100</v>
      </c>
      <c r="C7" s="32">
        <v>4278950</v>
      </c>
      <c r="D7" s="32">
        <v>11642000</v>
      </c>
      <c r="E7" s="32">
        <v>24264050</v>
      </c>
    </row>
    <row r="8" spans="1:5" x14ac:dyDescent="0.3">
      <c r="A8" s="23" t="s">
        <v>17</v>
      </c>
      <c r="B8" s="32">
        <v>14496250</v>
      </c>
      <c r="C8" s="32">
        <v>12623050</v>
      </c>
      <c r="D8" s="32">
        <v>10435000</v>
      </c>
      <c r="E8" s="32">
        <v>37554300</v>
      </c>
    </row>
    <row r="9" spans="1:5" x14ac:dyDescent="0.3">
      <c r="A9" s="23" t="s">
        <v>30</v>
      </c>
      <c r="B9" s="32">
        <v>15369100</v>
      </c>
      <c r="C9" s="32">
        <v>10197200</v>
      </c>
      <c r="D9" s="32">
        <v>5502150</v>
      </c>
      <c r="E9" s="32">
        <v>31068450</v>
      </c>
    </row>
    <row r="10" spans="1:5" x14ac:dyDescent="0.3">
      <c r="A10" s="23" t="s">
        <v>38</v>
      </c>
      <c r="B10" s="32">
        <v>65937400</v>
      </c>
      <c r="C10" s="32">
        <v>57370950</v>
      </c>
      <c r="D10" s="32">
        <v>44129600</v>
      </c>
      <c r="E10" s="32">
        <v>167437950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CCADF-EB4E-4475-956C-8D060EB63E48}">
  <dimension ref="A3:B9"/>
  <sheetViews>
    <sheetView workbookViewId="0">
      <selection activeCell="D7" sqref="D7"/>
    </sheetView>
  </sheetViews>
  <sheetFormatPr defaultRowHeight="14.4" x14ac:dyDescent="0.3"/>
  <cols>
    <col min="1" max="1" width="12.44140625" bestFit="1" customWidth="1"/>
    <col min="2" max="2" width="16.109375" bestFit="1" customWidth="1"/>
    <col min="3" max="3" width="9" bestFit="1" customWidth="1"/>
    <col min="4" max="4" width="9.5546875" bestFit="1" customWidth="1"/>
    <col min="5" max="5" width="9" bestFit="1" customWidth="1"/>
    <col min="6" max="6" width="10.33203125" bestFit="1" customWidth="1"/>
    <col min="7" max="7" width="10.5546875" bestFit="1" customWidth="1"/>
    <col min="8" max="8" width="10.33203125" bestFit="1" customWidth="1"/>
    <col min="9" max="9" width="8.5546875" bestFit="1" customWidth="1"/>
    <col min="10" max="10" width="9.109375" bestFit="1" customWidth="1"/>
    <col min="11" max="11" width="9.5546875" bestFit="1" customWidth="1"/>
    <col min="12" max="12" width="8.44140625" bestFit="1" customWidth="1"/>
    <col min="13" max="13" width="10.33203125" bestFit="1" customWidth="1"/>
    <col min="14" max="14" width="8.5546875" bestFit="1" customWidth="1"/>
    <col min="15" max="15" width="9.109375" bestFit="1" customWidth="1"/>
    <col min="16" max="16" width="9.5546875" bestFit="1" customWidth="1"/>
    <col min="17" max="17" width="10.77734375" bestFit="1" customWidth="1"/>
    <col min="18" max="18" width="10.33203125" bestFit="1" customWidth="1"/>
    <col min="19" max="19" width="8.5546875" bestFit="1" customWidth="1"/>
    <col min="20" max="20" width="9.109375" bestFit="1" customWidth="1"/>
    <col min="21" max="21" width="9.5546875" bestFit="1" customWidth="1"/>
    <col min="22" max="22" width="12.44140625" bestFit="1" customWidth="1"/>
    <col min="23" max="23" width="10.33203125" bestFit="1" customWidth="1"/>
    <col min="24" max="24" width="8.5546875" bestFit="1" customWidth="1"/>
    <col min="25" max="25" width="9.109375" bestFit="1" customWidth="1"/>
    <col min="26" max="27" width="9.5546875" bestFit="1" customWidth="1"/>
    <col min="28" max="28" width="10.33203125" bestFit="1" customWidth="1"/>
    <col min="29" max="29" width="8.5546875" bestFit="1" customWidth="1"/>
    <col min="30" max="30" width="9.109375" bestFit="1" customWidth="1"/>
    <col min="31" max="31" width="9.5546875" bestFit="1" customWidth="1"/>
    <col min="32" max="32" width="10.5546875" bestFit="1" customWidth="1"/>
    <col min="33" max="33" width="10.33203125" bestFit="1" customWidth="1"/>
    <col min="34" max="34" width="8.5546875" bestFit="1" customWidth="1"/>
    <col min="35" max="35" width="9.109375" bestFit="1" customWidth="1"/>
    <col min="36" max="36" width="9.5546875" bestFit="1" customWidth="1"/>
    <col min="37" max="37" width="12.88671875" bestFit="1" customWidth="1"/>
    <col min="38" max="38" width="10.33203125" bestFit="1" customWidth="1"/>
    <col min="39" max="39" width="8.5546875" bestFit="1" customWidth="1"/>
    <col min="40" max="40" width="9.109375" bestFit="1" customWidth="1"/>
    <col min="41" max="41" width="9.5546875" bestFit="1" customWidth="1"/>
    <col min="42" max="42" width="8" bestFit="1" customWidth="1"/>
    <col min="43" max="43" width="10.33203125" bestFit="1" customWidth="1"/>
    <col min="44" max="44" width="8.5546875" bestFit="1" customWidth="1"/>
    <col min="45" max="45" width="9.109375" bestFit="1" customWidth="1"/>
    <col min="46" max="46" width="9.5546875" bestFit="1" customWidth="1"/>
    <col min="47" max="47" width="8" bestFit="1" customWidth="1"/>
    <col min="48" max="48" width="10.33203125" bestFit="1" customWidth="1"/>
    <col min="49" max="49" width="8.5546875" bestFit="1" customWidth="1"/>
    <col min="50" max="50" width="9.109375" bestFit="1" customWidth="1"/>
    <col min="51" max="51" width="9.5546875" bestFit="1" customWidth="1"/>
    <col min="52" max="52" width="10.5546875" bestFit="1" customWidth="1"/>
  </cols>
  <sheetData>
    <row r="3" spans="1:2" x14ac:dyDescent="0.3">
      <c r="A3" s="22" t="s">
        <v>37</v>
      </c>
      <c r="B3" t="s">
        <v>39</v>
      </c>
    </row>
    <row r="4" spans="1:2" x14ac:dyDescent="0.3">
      <c r="A4" s="27" t="s">
        <v>26</v>
      </c>
      <c r="B4" s="33">
        <v>23112700</v>
      </c>
    </row>
    <row r="5" spans="1:2" x14ac:dyDescent="0.3">
      <c r="A5" s="23" t="s">
        <v>31</v>
      </c>
      <c r="B5" s="32">
        <v>21448300</v>
      </c>
    </row>
    <row r="6" spans="1:2" x14ac:dyDescent="0.3">
      <c r="A6" s="23" t="s">
        <v>36</v>
      </c>
      <c r="B6" s="32">
        <v>21368800</v>
      </c>
    </row>
    <row r="7" spans="1:2" x14ac:dyDescent="0.3">
      <c r="A7" s="23" t="s">
        <v>29</v>
      </c>
      <c r="B7" s="32">
        <v>20974500</v>
      </c>
    </row>
    <row r="8" spans="1:2" x14ac:dyDescent="0.3">
      <c r="A8" s="23" t="s">
        <v>35</v>
      </c>
      <c r="B8" s="32">
        <v>19829250</v>
      </c>
    </row>
    <row r="9" spans="1:2" x14ac:dyDescent="0.3">
      <c r="A9" s="23" t="s">
        <v>38</v>
      </c>
      <c r="B9" s="32">
        <v>106733550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47EB-3754-455F-B126-DD1FA8287226}">
  <dimension ref="A3:B9"/>
  <sheetViews>
    <sheetView workbookViewId="0">
      <selection activeCell="A4" sqref="A4:B4"/>
      <pivotSelection pane="bottomRight" showHeader="1" extendable="1" axis="axisRow" max="6" activeRow="3" previousRow="3" click="1" r:id="rId1">
        <pivotArea dataOnly="0" axis="axisRow" fieldPosition="0">
          <references count="1">
            <reference field="0" count="1">
              <x v="1"/>
            </reference>
          </references>
        </pivotArea>
      </pivotSelection>
    </sheetView>
  </sheetViews>
  <sheetFormatPr defaultRowHeight="14.4" x14ac:dyDescent="0.3"/>
  <cols>
    <col min="1" max="1" width="12.44140625" bestFit="1" customWidth="1"/>
    <col min="2" max="2" width="11.5546875" bestFit="1" customWidth="1"/>
    <col min="3" max="6" width="10" bestFit="1" customWidth="1"/>
    <col min="7" max="7" width="11" bestFit="1" customWidth="1"/>
  </cols>
  <sheetData>
    <row r="3" spans="1:2" x14ac:dyDescent="0.3">
      <c r="A3" s="22" t="s">
        <v>37</v>
      </c>
      <c r="B3" t="s">
        <v>40</v>
      </c>
    </row>
    <row r="4" spans="1:2" x14ac:dyDescent="0.3">
      <c r="A4" s="27" t="s">
        <v>15</v>
      </c>
      <c r="B4" s="33">
        <v>3905022.5</v>
      </c>
    </row>
    <row r="5" spans="1:2" x14ac:dyDescent="0.3">
      <c r="A5" s="23" t="s">
        <v>19</v>
      </c>
      <c r="B5" s="32">
        <v>5463080</v>
      </c>
    </row>
    <row r="6" spans="1:2" x14ac:dyDescent="0.3">
      <c r="A6" s="23" t="s">
        <v>20</v>
      </c>
      <c r="B6" s="32">
        <v>6312502</v>
      </c>
    </row>
    <row r="7" spans="1:2" x14ac:dyDescent="0.3">
      <c r="A7" s="23" t="s">
        <v>21</v>
      </c>
      <c r="B7" s="32">
        <v>8655440.5</v>
      </c>
    </row>
    <row r="8" spans="1:2" x14ac:dyDescent="0.3">
      <c r="A8" s="23" t="s">
        <v>11</v>
      </c>
      <c r="B8" s="32">
        <v>9412342.5</v>
      </c>
    </row>
    <row r="9" spans="1:2" x14ac:dyDescent="0.3">
      <c r="A9" s="23" t="s">
        <v>38</v>
      </c>
      <c r="B9" s="32">
        <v>33748387.5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B06D2-A3FC-4CB5-B76C-BF9D32F2AB8F}">
  <dimension ref="A1:L649"/>
  <sheetViews>
    <sheetView topLeftCell="A2" workbookViewId="0">
      <selection activeCell="G11" sqref="A2:L649"/>
    </sheetView>
  </sheetViews>
  <sheetFormatPr defaultRowHeight="14.4" x14ac:dyDescent="0.3"/>
  <cols>
    <col min="1" max="1" width="11" style="9" bestFit="1" customWidth="1"/>
    <col min="2" max="2" width="11.21875" style="3" bestFit="1" customWidth="1"/>
    <col min="3" max="3" width="10.33203125" style="19" bestFit="1" customWidth="1"/>
    <col min="4" max="4" width="11.77734375" style="19" bestFit="1" customWidth="1"/>
    <col min="5" max="5" width="19.44140625" style="19" bestFit="1" customWidth="1"/>
    <col min="6" max="6" width="18.77734375" style="19" bestFit="1" customWidth="1"/>
    <col min="7" max="7" width="14.77734375" style="9" bestFit="1" customWidth="1"/>
    <col min="8" max="8" width="14.44140625" style="11" bestFit="1" customWidth="1"/>
    <col min="9" max="9" width="15.33203125" style="13" bestFit="1" customWidth="1"/>
    <col min="10" max="10" width="17.5546875" style="13" bestFit="1" customWidth="1"/>
    <col min="11" max="11" width="14.109375" style="13" bestFit="1" customWidth="1"/>
    <col min="12" max="12" width="17.21875" style="31" bestFit="1" customWidth="1"/>
  </cols>
  <sheetData>
    <row r="1" spans="1:12" s="16" customFormat="1" ht="15.6" x14ac:dyDescent="0.3">
      <c r="A1" s="8" t="s">
        <v>0</v>
      </c>
      <c r="B1" s="6" t="s">
        <v>1</v>
      </c>
      <c r="C1" s="17" t="s">
        <v>2</v>
      </c>
      <c r="D1" s="17" t="s">
        <v>3</v>
      </c>
      <c r="E1" s="17" t="s">
        <v>4</v>
      </c>
      <c r="F1" s="17" t="s">
        <v>5</v>
      </c>
      <c r="G1" s="8" t="s">
        <v>6</v>
      </c>
      <c r="H1" s="10" t="s">
        <v>7</v>
      </c>
      <c r="I1" s="12" t="s">
        <v>8</v>
      </c>
      <c r="J1" s="12" t="s">
        <v>9</v>
      </c>
      <c r="K1" s="12" t="s">
        <v>10</v>
      </c>
      <c r="L1" s="29" t="s">
        <v>45</v>
      </c>
    </row>
    <row r="2" spans="1:12" ht="15.6" x14ac:dyDescent="0.3">
      <c r="A2" s="15">
        <v>1001</v>
      </c>
      <c r="B2" s="14">
        <v>45348</v>
      </c>
      <c r="C2" s="18" t="s">
        <v>11</v>
      </c>
      <c r="D2" s="18" t="s">
        <v>12</v>
      </c>
      <c r="E2" s="18" t="s">
        <v>25</v>
      </c>
      <c r="F2" s="18" t="s">
        <v>26</v>
      </c>
      <c r="G2" s="15">
        <v>80</v>
      </c>
      <c r="H2" s="20">
        <v>15000</v>
      </c>
      <c r="I2" s="21">
        <v>1200000</v>
      </c>
      <c r="J2" s="21">
        <v>10800</v>
      </c>
      <c r="K2" s="21">
        <v>336000</v>
      </c>
      <c r="L2" s="30">
        <f>MT1_[[#This Row],[Profit]]/MT1_[[#This Row],[Total Sales]]</f>
        <v>0.28000000000000003</v>
      </c>
    </row>
    <row r="3" spans="1:12" ht="15.6" x14ac:dyDescent="0.3">
      <c r="A3" s="15">
        <v>1003</v>
      </c>
      <c r="B3" s="14">
        <v>45352</v>
      </c>
      <c r="C3" s="18" t="s">
        <v>15</v>
      </c>
      <c r="D3" s="18" t="s">
        <v>33</v>
      </c>
      <c r="E3" s="18" t="s">
        <v>13</v>
      </c>
      <c r="F3" s="18" t="s">
        <v>26</v>
      </c>
      <c r="G3" s="15">
        <v>15</v>
      </c>
      <c r="H3" s="20">
        <v>30000</v>
      </c>
      <c r="I3" s="21">
        <v>450000</v>
      </c>
      <c r="J3" s="21">
        <v>23100</v>
      </c>
      <c r="K3" s="21">
        <v>103500</v>
      </c>
      <c r="L3" s="30">
        <f>MT1_[[#This Row],[Profit]]/MT1_[[#This Row],[Total Sales]]</f>
        <v>0.23</v>
      </c>
    </row>
    <row r="4" spans="1:12" ht="15.6" x14ac:dyDescent="0.3">
      <c r="A4" s="15">
        <v>1004</v>
      </c>
      <c r="B4" s="14">
        <v>45364</v>
      </c>
      <c r="C4" s="18" t="s">
        <v>15</v>
      </c>
      <c r="D4" s="18" t="s">
        <v>16</v>
      </c>
      <c r="E4" s="18" t="s">
        <v>30</v>
      </c>
      <c r="F4" s="18" t="s">
        <v>26</v>
      </c>
      <c r="G4" s="15">
        <v>11</v>
      </c>
      <c r="H4" s="20">
        <v>1200</v>
      </c>
      <c r="I4" s="21">
        <v>13200</v>
      </c>
      <c r="J4" s="21">
        <v>1068</v>
      </c>
      <c r="K4" s="21">
        <v>1452</v>
      </c>
      <c r="L4" s="30">
        <f>MT1_[[#This Row],[Profit]]/MT1_[[#This Row],[Total Sales]]</f>
        <v>0.11</v>
      </c>
    </row>
    <row r="5" spans="1:12" ht="15.6" x14ac:dyDescent="0.3">
      <c r="A5" s="15">
        <v>1005</v>
      </c>
      <c r="B5" s="14">
        <v>45348</v>
      </c>
      <c r="C5" s="18" t="s">
        <v>19</v>
      </c>
      <c r="D5" s="18" t="s">
        <v>34</v>
      </c>
      <c r="E5" s="18" t="s">
        <v>17</v>
      </c>
      <c r="F5" s="18" t="s">
        <v>31</v>
      </c>
      <c r="G5" s="15">
        <v>91</v>
      </c>
      <c r="H5" s="20">
        <v>15000</v>
      </c>
      <c r="I5" s="21">
        <v>1365000</v>
      </c>
      <c r="J5" s="21">
        <v>13050</v>
      </c>
      <c r="K5" s="21">
        <v>177450</v>
      </c>
      <c r="L5" s="30">
        <f>MT1_[[#This Row],[Profit]]/MT1_[[#This Row],[Total Sales]]</f>
        <v>0.13</v>
      </c>
    </row>
    <row r="6" spans="1:12" ht="15.6" x14ac:dyDescent="0.3">
      <c r="A6" s="15">
        <v>1006</v>
      </c>
      <c r="B6" s="14">
        <v>45310</v>
      </c>
      <c r="C6" s="18" t="s">
        <v>15</v>
      </c>
      <c r="D6" s="18" t="s">
        <v>34</v>
      </c>
      <c r="E6" s="18" t="s">
        <v>17</v>
      </c>
      <c r="F6" s="18" t="s">
        <v>18</v>
      </c>
      <c r="G6" s="15">
        <v>71</v>
      </c>
      <c r="H6" s="20">
        <v>500</v>
      </c>
      <c r="I6" s="21">
        <v>35500</v>
      </c>
      <c r="J6" s="21">
        <v>400</v>
      </c>
      <c r="K6" s="21">
        <v>7100</v>
      </c>
      <c r="L6" s="30">
        <f>MT1_[[#This Row],[Profit]]/MT1_[[#This Row],[Total Sales]]</f>
        <v>0.2</v>
      </c>
    </row>
    <row r="7" spans="1:12" ht="15.6" x14ac:dyDescent="0.3">
      <c r="A7" s="15">
        <v>1007</v>
      </c>
      <c r="B7" s="14">
        <v>45372</v>
      </c>
      <c r="C7" s="18" t="s">
        <v>11</v>
      </c>
      <c r="D7" s="18" t="s">
        <v>33</v>
      </c>
      <c r="E7" s="18" t="s">
        <v>25</v>
      </c>
      <c r="F7" s="18" t="s">
        <v>29</v>
      </c>
      <c r="G7" s="15">
        <v>59</v>
      </c>
      <c r="H7" s="20">
        <v>30000</v>
      </c>
      <c r="I7" s="21">
        <v>1770000</v>
      </c>
      <c r="J7" s="21">
        <v>21600</v>
      </c>
      <c r="K7" s="21">
        <v>495600</v>
      </c>
      <c r="L7" s="30">
        <f>MT1_[[#This Row],[Profit]]/MT1_[[#This Row],[Total Sales]]</f>
        <v>0.28000000000000003</v>
      </c>
    </row>
    <row r="8" spans="1:12" ht="15.6" x14ac:dyDescent="0.3">
      <c r="A8" s="15">
        <v>1008</v>
      </c>
      <c r="B8" s="14">
        <v>45358</v>
      </c>
      <c r="C8" s="18" t="s">
        <v>15</v>
      </c>
      <c r="D8" s="18" t="s">
        <v>32</v>
      </c>
      <c r="E8" s="18" t="s">
        <v>17</v>
      </c>
      <c r="F8" s="18" t="s">
        <v>23</v>
      </c>
      <c r="G8" s="15">
        <v>86</v>
      </c>
      <c r="H8" s="20">
        <v>150</v>
      </c>
      <c r="I8" s="21">
        <v>12900</v>
      </c>
      <c r="J8" s="21">
        <v>114</v>
      </c>
      <c r="K8" s="21">
        <v>3096</v>
      </c>
      <c r="L8" s="30">
        <f>MT1_[[#This Row],[Profit]]/MT1_[[#This Row],[Total Sales]]</f>
        <v>0.24</v>
      </c>
    </row>
    <row r="9" spans="1:12" ht="15.6" x14ac:dyDescent="0.3">
      <c r="A9" s="15">
        <v>1009</v>
      </c>
      <c r="B9" s="14">
        <v>45382</v>
      </c>
      <c r="C9" s="18" t="s">
        <v>11</v>
      </c>
      <c r="D9" s="18" t="s">
        <v>33</v>
      </c>
      <c r="E9" s="18" t="s">
        <v>17</v>
      </c>
      <c r="F9" s="18" t="s">
        <v>26</v>
      </c>
      <c r="G9" s="15">
        <v>28</v>
      </c>
      <c r="H9" s="20">
        <v>30000</v>
      </c>
      <c r="I9" s="21">
        <v>840000</v>
      </c>
      <c r="J9" s="21">
        <v>22500</v>
      </c>
      <c r="K9" s="21">
        <v>210000</v>
      </c>
      <c r="L9" s="30">
        <f>MT1_[[#This Row],[Profit]]/MT1_[[#This Row],[Total Sales]]</f>
        <v>0.25</v>
      </c>
    </row>
    <row r="10" spans="1:12" ht="15.6" x14ac:dyDescent="0.3">
      <c r="A10" s="15">
        <v>1010</v>
      </c>
      <c r="B10" s="14">
        <v>45297</v>
      </c>
      <c r="C10" s="18" t="s">
        <v>11</v>
      </c>
      <c r="D10" s="18" t="s">
        <v>32</v>
      </c>
      <c r="E10" s="18" t="s">
        <v>25</v>
      </c>
      <c r="F10" s="18" t="s">
        <v>36</v>
      </c>
      <c r="G10" s="15">
        <v>74</v>
      </c>
      <c r="H10" s="20">
        <v>250</v>
      </c>
      <c r="I10" s="21">
        <v>18500</v>
      </c>
      <c r="J10" s="21">
        <v>205</v>
      </c>
      <c r="K10" s="21">
        <v>3330</v>
      </c>
      <c r="L10" s="30">
        <f>MT1_[[#This Row],[Profit]]/MT1_[[#This Row],[Total Sales]]</f>
        <v>0.18</v>
      </c>
    </row>
    <row r="11" spans="1:12" ht="15.6" x14ac:dyDescent="0.3">
      <c r="A11" s="15">
        <v>1011</v>
      </c>
      <c r="B11" s="14">
        <v>45368</v>
      </c>
      <c r="C11" s="18" t="s">
        <v>19</v>
      </c>
      <c r="D11" s="18" t="s">
        <v>12</v>
      </c>
      <c r="E11" s="18" t="s">
        <v>30</v>
      </c>
      <c r="F11" s="18" t="s">
        <v>31</v>
      </c>
      <c r="G11" s="15">
        <v>83</v>
      </c>
      <c r="H11" s="20">
        <v>300</v>
      </c>
      <c r="I11" s="21">
        <v>24900</v>
      </c>
      <c r="J11" s="21">
        <v>261</v>
      </c>
      <c r="K11" s="21">
        <v>3237</v>
      </c>
      <c r="L11" s="30">
        <f>MT1_[[#This Row],[Profit]]/MT1_[[#This Row],[Total Sales]]</f>
        <v>0.13</v>
      </c>
    </row>
    <row r="12" spans="1:12" ht="15.6" x14ac:dyDescent="0.3">
      <c r="A12" s="15">
        <v>1012</v>
      </c>
      <c r="B12" s="14">
        <v>45379</v>
      </c>
      <c r="C12" s="18" t="s">
        <v>15</v>
      </c>
      <c r="D12" s="18" t="s">
        <v>33</v>
      </c>
      <c r="E12" s="18" t="s">
        <v>17</v>
      </c>
      <c r="F12" s="18" t="s">
        <v>14</v>
      </c>
      <c r="G12" s="15">
        <v>80</v>
      </c>
      <c r="H12" s="20">
        <v>250</v>
      </c>
      <c r="I12" s="21">
        <v>20000</v>
      </c>
      <c r="J12" s="21">
        <v>202.5</v>
      </c>
      <c r="K12" s="21">
        <v>3800</v>
      </c>
      <c r="L12" s="30">
        <f>MT1_[[#This Row],[Profit]]/MT1_[[#This Row],[Total Sales]]</f>
        <v>0.19</v>
      </c>
    </row>
    <row r="13" spans="1:12" ht="15.6" x14ac:dyDescent="0.3">
      <c r="A13" s="15">
        <v>1013</v>
      </c>
      <c r="B13" s="14">
        <v>45335</v>
      </c>
      <c r="C13" s="18" t="s">
        <v>11</v>
      </c>
      <c r="D13" s="18" t="s">
        <v>33</v>
      </c>
      <c r="E13" s="18" t="s">
        <v>25</v>
      </c>
      <c r="F13" s="18" t="s">
        <v>18</v>
      </c>
      <c r="G13" s="15">
        <v>85</v>
      </c>
      <c r="H13" s="20">
        <v>1200</v>
      </c>
      <c r="I13" s="21">
        <v>102000</v>
      </c>
      <c r="J13" s="21">
        <v>984</v>
      </c>
      <c r="K13" s="21">
        <v>18360</v>
      </c>
      <c r="L13" s="30">
        <f>MT1_[[#This Row],[Profit]]/MT1_[[#This Row],[Total Sales]]</f>
        <v>0.18</v>
      </c>
    </row>
    <row r="14" spans="1:12" ht="15.6" x14ac:dyDescent="0.3">
      <c r="A14" s="15">
        <v>1014</v>
      </c>
      <c r="B14" s="14">
        <v>45358</v>
      </c>
      <c r="C14" s="18" t="s">
        <v>19</v>
      </c>
      <c r="D14" s="18" t="s">
        <v>33</v>
      </c>
      <c r="E14" s="18" t="s">
        <v>28</v>
      </c>
      <c r="F14" s="18" t="s">
        <v>14</v>
      </c>
      <c r="G14" s="15">
        <v>23</v>
      </c>
      <c r="H14" s="20">
        <v>50</v>
      </c>
      <c r="I14" s="21">
        <v>1150</v>
      </c>
      <c r="J14" s="21">
        <v>40</v>
      </c>
      <c r="K14" s="21">
        <v>230</v>
      </c>
      <c r="L14" s="30">
        <f>MT1_[[#This Row],[Profit]]/MT1_[[#This Row],[Total Sales]]</f>
        <v>0.2</v>
      </c>
    </row>
    <row r="15" spans="1:12" ht="15.6" x14ac:dyDescent="0.3">
      <c r="A15" s="15">
        <v>1015</v>
      </c>
      <c r="B15" s="14">
        <v>45320</v>
      </c>
      <c r="C15" s="18" t="s">
        <v>19</v>
      </c>
      <c r="D15" s="18" t="s">
        <v>34</v>
      </c>
      <c r="E15" s="18" t="s">
        <v>30</v>
      </c>
      <c r="F15" s="18" t="s">
        <v>26</v>
      </c>
      <c r="G15" s="15">
        <v>11</v>
      </c>
      <c r="H15" s="20">
        <v>150</v>
      </c>
      <c r="I15" s="21">
        <v>1650</v>
      </c>
      <c r="J15" s="21">
        <v>124.5</v>
      </c>
      <c r="K15" s="21">
        <v>280.5</v>
      </c>
      <c r="L15" s="30">
        <f>MT1_[[#This Row],[Profit]]/MT1_[[#This Row],[Total Sales]]</f>
        <v>0.17</v>
      </c>
    </row>
    <row r="16" spans="1:12" ht="15.6" x14ac:dyDescent="0.3">
      <c r="A16" s="15">
        <v>1016</v>
      </c>
      <c r="B16" s="14">
        <v>45339</v>
      </c>
      <c r="C16" s="18" t="s">
        <v>15</v>
      </c>
      <c r="D16" s="18" t="s">
        <v>16</v>
      </c>
      <c r="E16" s="18" t="s">
        <v>13</v>
      </c>
      <c r="F16" s="18" t="s">
        <v>35</v>
      </c>
      <c r="G16" s="15">
        <v>79</v>
      </c>
      <c r="H16" s="20">
        <v>700</v>
      </c>
      <c r="I16" s="21">
        <v>55300</v>
      </c>
      <c r="J16" s="21">
        <v>581</v>
      </c>
      <c r="K16" s="21">
        <v>9401</v>
      </c>
      <c r="L16" s="30">
        <f>MT1_[[#This Row],[Profit]]/MT1_[[#This Row],[Total Sales]]</f>
        <v>0.17</v>
      </c>
    </row>
    <row r="17" spans="1:12" ht="15.6" x14ac:dyDescent="0.3">
      <c r="A17" s="15">
        <v>1017</v>
      </c>
      <c r="B17" s="14">
        <v>45343</v>
      </c>
      <c r="C17" s="18" t="s">
        <v>11</v>
      </c>
      <c r="D17" s="18" t="s">
        <v>34</v>
      </c>
      <c r="E17" s="18" t="s">
        <v>17</v>
      </c>
      <c r="F17" s="18" t="s">
        <v>23</v>
      </c>
      <c r="G17" s="15">
        <v>2</v>
      </c>
      <c r="H17" s="20">
        <v>1200</v>
      </c>
      <c r="I17" s="21">
        <v>2400</v>
      </c>
      <c r="J17" s="21">
        <v>1020</v>
      </c>
      <c r="K17" s="21">
        <v>360</v>
      </c>
      <c r="L17" s="30">
        <f>MT1_[[#This Row],[Profit]]/MT1_[[#This Row],[Total Sales]]</f>
        <v>0.15</v>
      </c>
    </row>
    <row r="18" spans="1:12" ht="15.6" x14ac:dyDescent="0.3">
      <c r="A18" s="15">
        <v>1018</v>
      </c>
      <c r="B18" s="14">
        <v>45370</v>
      </c>
      <c r="C18" s="18" t="s">
        <v>15</v>
      </c>
      <c r="D18" s="18" t="s">
        <v>34</v>
      </c>
      <c r="E18" s="18" t="s">
        <v>17</v>
      </c>
      <c r="F18" s="18" t="s">
        <v>14</v>
      </c>
      <c r="G18" s="15">
        <v>78</v>
      </c>
      <c r="H18" s="20">
        <v>900</v>
      </c>
      <c r="I18" s="21">
        <v>70200</v>
      </c>
      <c r="J18" s="21">
        <v>702</v>
      </c>
      <c r="K18" s="21">
        <v>15444</v>
      </c>
      <c r="L18" s="30">
        <f>MT1_[[#This Row],[Profit]]/MT1_[[#This Row],[Total Sales]]</f>
        <v>0.22</v>
      </c>
    </row>
    <row r="19" spans="1:12" ht="15.6" x14ac:dyDescent="0.3">
      <c r="A19" s="15">
        <v>1019</v>
      </c>
      <c r="B19" s="14">
        <v>45344</v>
      </c>
      <c r="C19" s="18" t="s">
        <v>15</v>
      </c>
      <c r="D19" s="18" t="s">
        <v>32</v>
      </c>
      <c r="E19" s="18" t="s">
        <v>25</v>
      </c>
      <c r="F19" s="18" t="s">
        <v>27</v>
      </c>
      <c r="G19" s="15">
        <v>38</v>
      </c>
      <c r="H19" s="20">
        <v>300</v>
      </c>
      <c r="I19" s="21">
        <v>11400</v>
      </c>
      <c r="J19" s="21">
        <v>258</v>
      </c>
      <c r="K19" s="21">
        <v>1596</v>
      </c>
      <c r="L19" s="30">
        <f>MT1_[[#This Row],[Profit]]/MT1_[[#This Row],[Total Sales]]</f>
        <v>0.14000000000000001</v>
      </c>
    </row>
    <row r="20" spans="1:12" ht="15.6" x14ac:dyDescent="0.3">
      <c r="A20" s="15">
        <v>1020</v>
      </c>
      <c r="B20" s="14">
        <v>45372</v>
      </c>
      <c r="C20" s="18" t="s">
        <v>11</v>
      </c>
      <c r="D20" s="18" t="s">
        <v>34</v>
      </c>
      <c r="E20" s="18" t="s">
        <v>28</v>
      </c>
      <c r="F20" s="18" t="s">
        <v>27</v>
      </c>
      <c r="G20" s="15">
        <v>52</v>
      </c>
      <c r="H20" s="20">
        <v>150</v>
      </c>
      <c r="I20" s="21">
        <v>7800</v>
      </c>
      <c r="J20" s="21">
        <v>133.5</v>
      </c>
      <c r="K20" s="21">
        <v>858</v>
      </c>
      <c r="L20" s="30">
        <f>MT1_[[#This Row],[Profit]]/MT1_[[#This Row],[Total Sales]]</f>
        <v>0.11</v>
      </c>
    </row>
    <row r="21" spans="1:12" ht="15.6" x14ac:dyDescent="0.3">
      <c r="A21" s="15">
        <v>1021</v>
      </c>
      <c r="B21" s="14">
        <v>45344</v>
      </c>
      <c r="C21" s="18" t="s">
        <v>11</v>
      </c>
      <c r="D21" s="18" t="s">
        <v>32</v>
      </c>
      <c r="E21" s="18" t="s">
        <v>13</v>
      </c>
      <c r="F21" s="18" t="s">
        <v>24</v>
      </c>
      <c r="G21" s="15">
        <v>64</v>
      </c>
      <c r="H21" s="20">
        <v>700</v>
      </c>
      <c r="I21" s="21">
        <v>44800</v>
      </c>
      <c r="J21" s="21">
        <v>539</v>
      </c>
      <c r="K21" s="21">
        <v>10304</v>
      </c>
      <c r="L21" s="30">
        <f>MT1_[[#This Row],[Profit]]/MT1_[[#This Row],[Total Sales]]</f>
        <v>0.23</v>
      </c>
    </row>
    <row r="22" spans="1:12" ht="15.6" x14ac:dyDescent="0.3">
      <c r="A22" s="15">
        <v>1022</v>
      </c>
      <c r="B22" s="14">
        <v>45297</v>
      </c>
      <c r="C22" s="18" t="s">
        <v>19</v>
      </c>
      <c r="D22" s="18" t="s">
        <v>33</v>
      </c>
      <c r="E22" s="18" t="s">
        <v>13</v>
      </c>
      <c r="F22" s="18" t="s">
        <v>18</v>
      </c>
      <c r="G22" s="15">
        <v>20</v>
      </c>
      <c r="H22" s="20">
        <v>300</v>
      </c>
      <c r="I22" s="21">
        <v>6000</v>
      </c>
      <c r="J22" s="21">
        <v>258</v>
      </c>
      <c r="K22" s="21">
        <v>840</v>
      </c>
      <c r="L22" s="30">
        <f>MT1_[[#This Row],[Profit]]/MT1_[[#This Row],[Total Sales]]</f>
        <v>0.14000000000000001</v>
      </c>
    </row>
    <row r="23" spans="1:12" ht="15.6" x14ac:dyDescent="0.3">
      <c r="A23" s="15">
        <v>1023</v>
      </c>
      <c r="B23" s="14">
        <v>45315</v>
      </c>
      <c r="C23" s="18" t="s">
        <v>11</v>
      </c>
      <c r="D23" s="18" t="s">
        <v>32</v>
      </c>
      <c r="E23" s="18" t="s">
        <v>30</v>
      </c>
      <c r="F23" s="18" t="s">
        <v>36</v>
      </c>
      <c r="G23" s="15">
        <v>40</v>
      </c>
      <c r="H23" s="20">
        <v>1200</v>
      </c>
      <c r="I23" s="21">
        <v>48000</v>
      </c>
      <c r="J23" s="21">
        <v>888</v>
      </c>
      <c r="K23" s="21">
        <v>12480</v>
      </c>
      <c r="L23" s="30">
        <f>MT1_[[#This Row],[Profit]]/MT1_[[#This Row],[Total Sales]]</f>
        <v>0.26</v>
      </c>
    </row>
    <row r="24" spans="1:12" ht="15.6" x14ac:dyDescent="0.3">
      <c r="A24" s="15">
        <v>1024</v>
      </c>
      <c r="B24" s="14">
        <v>45294</v>
      </c>
      <c r="C24" s="18" t="s">
        <v>21</v>
      </c>
      <c r="D24" s="18" t="s">
        <v>34</v>
      </c>
      <c r="E24" s="18" t="s">
        <v>17</v>
      </c>
      <c r="F24" s="18" t="s">
        <v>23</v>
      </c>
      <c r="G24" s="15">
        <v>83</v>
      </c>
      <c r="H24" s="20">
        <v>700</v>
      </c>
      <c r="I24" s="21">
        <v>58100</v>
      </c>
      <c r="J24" s="21">
        <v>560</v>
      </c>
      <c r="K24" s="21">
        <v>11620</v>
      </c>
      <c r="L24" s="30">
        <f>MT1_[[#This Row],[Profit]]/MT1_[[#This Row],[Total Sales]]</f>
        <v>0.2</v>
      </c>
    </row>
    <row r="25" spans="1:12" ht="15.6" x14ac:dyDescent="0.3">
      <c r="A25" s="15">
        <v>1025</v>
      </c>
      <c r="B25" s="14">
        <v>45356</v>
      </c>
      <c r="C25" s="18" t="s">
        <v>20</v>
      </c>
      <c r="D25" s="18" t="s">
        <v>32</v>
      </c>
      <c r="E25" s="18" t="s">
        <v>17</v>
      </c>
      <c r="F25" s="18" t="s">
        <v>27</v>
      </c>
      <c r="G25" s="15">
        <v>81</v>
      </c>
      <c r="H25" s="20">
        <v>50</v>
      </c>
      <c r="I25" s="21">
        <v>4050</v>
      </c>
      <c r="J25" s="21">
        <v>44.5</v>
      </c>
      <c r="K25" s="21">
        <v>445.5</v>
      </c>
      <c r="L25" s="30">
        <f>MT1_[[#This Row],[Profit]]/MT1_[[#This Row],[Total Sales]]</f>
        <v>0.11</v>
      </c>
    </row>
    <row r="26" spans="1:12" ht="15.6" x14ac:dyDescent="0.3">
      <c r="A26" s="15">
        <v>1026</v>
      </c>
      <c r="B26" s="14">
        <v>45325</v>
      </c>
      <c r="C26" s="18" t="s">
        <v>11</v>
      </c>
      <c r="D26" s="18" t="s">
        <v>32</v>
      </c>
      <c r="E26" s="18" t="s">
        <v>28</v>
      </c>
      <c r="F26" s="18" t="s">
        <v>23</v>
      </c>
      <c r="G26" s="15">
        <v>43</v>
      </c>
      <c r="H26" s="20">
        <v>300</v>
      </c>
      <c r="I26" s="21">
        <v>12900</v>
      </c>
      <c r="J26" s="21">
        <v>222</v>
      </c>
      <c r="K26" s="21">
        <v>3354</v>
      </c>
      <c r="L26" s="30">
        <f>MT1_[[#This Row],[Profit]]/MT1_[[#This Row],[Total Sales]]</f>
        <v>0.26</v>
      </c>
    </row>
    <row r="27" spans="1:12" ht="15.6" x14ac:dyDescent="0.3">
      <c r="A27" s="15">
        <v>1027</v>
      </c>
      <c r="B27" s="14">
        <v>45348</v>
      </c>
      <c r="C27" s="18" t="s">
        <v>21</v>
      </c>
      <c r="D27" s="18" t="s">
        <v>32</v>
      </c>
      <c r="E27" s="18" t="s">
        <v>13</v>
      </c>
      <c r="F27" s="18" t="s">
        <v>27</v>
      </c>
      <c r="G27" s="15">
        <v>100</v>
      </c>
      <c r="H27" s="20">
        <v>30000</v>
      </c>
      <c r="I27" s="21">
        <v>3000000</v>
      </c>
      <c r="J27" s="21">
        <v>25200</v>
      </c>
      <c r="K27" s="21">
        <v>480000</v>
      </c>
      <c r="L27" s="30">
        <f>MT1_[[#This Row],[Profit]]/MT1_[[#This Row],[Total Sales]]</f>
        <v>0.16</v>
      </c>
    </row>
    <row r="28" spans="1:12" ht="15.6" x14ac:dyDescent="0.3">
      <c r="A28" s="15">
        <v>1028</v>
      </c>
      <c r="B28" s="14">
        <v>45342</v>
      </c>
      <c r="C28" s="18" t="s">
        <v>21</v>
      </c>
      <c r="D28" s="18" t="s">
        <v>33</v>
      </c>
      <c r="E28" s="18" t="s">
        <v>28</v>
      </c>
      <c r="F28" s="18" t="s">
        <v>36</v>
      </c>
      <c r="G28" s="15">
        <v>82</v>
      </c>
      <c r="H28" s="20">
        <v>1200</v>
      </c>
      <c r="I28" s="21">
        <v>98400</v>
      </c>
      <c r="J28" s="21">
        <v>924</v>
      </c>
      <c r="K28" s="21">
        <v>22632</v>
      </c>
      <c r="L28" s="30">
        <f>MT1_[[#This Row],[Profit]]/MT1_[[#This Row],[Total Sales]]</f>
        <v>0.23</v>
      </c>
    </row>
    <row r="29" spans="1:12" ht="15.6" x14ac:dyDescent="0.3">
      <c r="A29" s="15">
        <v>1029</v>
      </c>
      <c r="B29" s="14">
        <v>45306</v>
      </c>
      <c r="C29" s="18" t="s">
        <v>20</v>
      </c>
      <c r="D29" s="18" t="s">
        <v>16</v>
      </c>
      <c r="E29" s="18" t="s">
        <v>25</v>
      </c>
      <c r="F29" s="18" t="s">
        <v>35</v>
      </c>
      <c r="G29" s="15">
        <v>42</v>
      </c>
      <c r="H29" s="20">
        <v>150</v>
      </c>
      <c r="I29" s="21">
        <v>6300</v>
      </c>
      <c r="J29" s="21">
        <v>114</v>
      </c>
      <c r="K29" s="21">
        <v>1512</v>
      </c>
      <c r="L29" s="30">
        <f>MT1_[[#This Row],[Profit]]/MT1_[[#This Row],[Total Sales]]</f>
        <v>0.24</v>
      </c>
    </row>
    <row r="30" spans="1:12" ht="15.6" x14ac:dyDescent="0.3">
      <c r="A30" s="15">
        <v>1030</v>
      </c>
      <c r="B30" s="14">
        <v>45380</v>
      </c>
      <c r="C30" s="18" t="s">
        <v>20</v>
      </c>
      <c r="D30" s="18" t="s">
        <v>12</v>
      </c>
      <c r="E30" s="18" t="s">
        <v>13</v>
      </c>
      <c r="F30" s="18" t="s">
        <v>35</v>
      </c>
      <c r="G30" s="15">
        <v>13</v>
      </c>
      <c r="H30" s="20">
        <v>900</v>
      </c>
      <c r="I30" s="21">
        <v>11700</v>
      </c>
      <c r="J30" s="21">
        <v>738</v>
      </c>
      <c r="K30" s="21">
        <v>2106</v>
      </c>
      <c r="L30" s="30">
        <f>MT1_[[#This Row],[Profit]]/MT1_[[#This Row],[Total Sales]]</f>
        <v>0.18</v>
      </c>
    </row>
    <row r="31" spans="1:12" ht="15.6" x14ac:dyDescent="0.3">
      <c r="A31" s="15">
        <v>1031</v>
      </c>
      <c r="B31" s="14">
        <v>45371</v>
      </c>
      <c r="C31" s="18" t="s">
        <v>15</v>
      </c>
      <c r="D31" s="18" t="s">
        <v>16</v>
      </c>
      <c r="E31" s="18" t="s">
        <v>25</v>
      </c>
      <c r="F31" s="18" t="s">
        <v>27</v>
      </c>
      <c r="G31" s="15">
        <v>77</v>
      </c>
      <c r="H31" s="20">
        <v>300</v>
      </c>
      <c r="I31" s="21">
        <v>23100</v>
      </c>
      <c r="J31" s="21">
        <v>261</v>
      </c>
      <c r="K31" s="21">
        <v>3003</v>
      </c>
      <c r="L31" s="30">
        <f>MT1_[[#This Row],[Profit]]/MT1_[[#This Row],[Total Sales]]</f>
        <v>0.13</v>
      </c>
    </row>
    <row r="32" spans="1:12" ht="15.6" x14ac:dyDescent="0.3">
      <c r="A32" s="15">
        <v>1032</v>
      </c>
      <c r="B32" s="14">
        <v>45358</v>
      </c>
      <c r="C32" s="18" t="s">
        <v>11</v>
      </c>
      <c r="D32" s="18" t="s">
        <v>16</v>
      </c>
      <c r="E32" s="18" t="s">
        <v>13</v>
      </c>
      <c r="F32" s="18" t="s">
        <v>14</v>
      </c>
      <c r="G32" s="15">
        <v>72</v>
      </c>
      <c r="H32" s="20">
        <v>300</v>
      </c>
      <c r="I32" s="21">
        <v>21600</v>
      </c>
      <c r="J32" s="21">
        <v>237</v>
      </c>
      <c r="K32" s="21">
        <v>4536</v>
      </c>
      <c r="L32" s="30">
        <f>MT1_[[#This Row],[Profit]]/MT1_[[#This Row],[Total Sales]]</f>
        <v>0.21</v>
      </c>
    </row>
    <row r="33" spans="1:12" ht="15.6" x14ac:dyDescent="0.3">
      <c r="A33" s="15">
        <v>1033</v>
      </c>
      <c r="B33" s="14">
        <v>45301</v>
      </c>
      <c r="C33" s="18" t="s">
        <v>20</v>
      </c>
      <c r="D33" s="18" t="s">
        <v>16</v>
      </c>
      <c r="E33" s="18" t="s">
        <v>25</v>
      </c>
      <c r="F33" s="18" t="s">
        <v>14</v>
      </c>
      <c r="G33" s="15">
        <v>12</v>
      </c>
      <c r="H33" s="20">
        <v>150</v>
      </c>
      <c r="I33" s="21">
        <v>1800</v>
      </c>
      <c r="J33" s="21">
        <v>112.5</v>
      </c>
      <c r="K33" s="21">
        <v>450</v>
      </c>
      <c r="L33" s="30">
        <f>MT1_[[#This Row],[Profit]]/MT1_[[#This Row],[Total Sales]]</f>
        <v>0.25</v>
      </c>
    </row>
    <row r="34" spans="1:12" ht="15.6" x14ac:dyDescent="0.3">
      <c r="A34" s="15">
        <v>1034</v>
      </c>
      <c r="B34" s="14">
        <v>45364</v>
      </c>
      <c r="C34" s="18" t="s">
        <v>19</v>
      </c>
      <c r="D34" s="18" t="s">
        <v>34</v>
      </c>
      <c r="E34" s="18" t="s">
        <v>25</v>
      </c>
      <c r="F34" s="18" t="s">
        <v>31</v>
      </c>
      <c r="G34" s="15">
        <v>57</v>
      </c>
      <c r="H34" s="20">
        <v>500</v>
      </c>
      <c r="I34" s="21">
        <v>28500</v>
      </c>
      <c r="J34" s="21">
        <v>365</v>
      </c>
      <c r="K34" s="21">
        <v>7695</v>
      </c>
      <c r="L34" s="30">
        <f>MT1_[[#This Row],[Profit]]/MT1_[[#This Row],[Total Sales]]</f>
        <v>0.27</v>
      </c>
    </row>
    <row r="35" spans="1:12" ht="15.6" x14ac:dyDescent="0.3">
      <c r="A35" s="15">
        <v>1035</v>
      </c>
      <c r="B35" s="14">
        <v>45345</v>
      </c>
      <c r="C35" s="18" t="s">
        <v>19</v>
      </c>
      <c r="D35" s="18" t="s">
        <v>32</v>
      </c>
      <c r="E35" s="18" t="s">
        <v>13</v>
      </c>
      <c r="F35" s="18" t="s">
        <v>23</v>
      </c>
      <c r="G35" s="15">
        <v>43</v>
      </c>
      <c r="H35" s="20">
        <v>150</v>
      </c>
      <c r="I35" s="21">
        <v>6450</v>
      </c>
      <c r="J35" s="21">
        <v>133.5</v>
      </c>
      <c r="K35" s="21">
        <v>709.5</v>
      </c>
      <c r="L35" s="30">
        <f>MT1_[[#This Row],[Profit]]/MT1_[[#This Row],[Total Sales]]</f>
        <v>0.11</v>
      </c>
    </row>
    <row r="36" spans="1:12" ht="15.6" x14ac:dyDescent="0.3">
      <c r="A36" s="15">
        <v>1036</v>
      </c>
      <c r="B36" s="14">
        <v>45307</v>
      </c>
      <c r="C36" s="18" t="s">
        <v>11</v>
      </c>
      <c r="D36" s="18" t="s">
        <v>12</v>
      </c>
      <c r="E36" s="18" t="s">
        <v>30</v>
      </c>
      <c r="F36" s="18" t="s">
        <v>18</v>
      </c>
      <c r="G36" s="15">
        <v>30</v>
      </c>
      <c r="H36" s="20">
        <v>700</v>
      </c>
      <c r="I36" s="21">
        <v>21000</v>
      </c>
      <c r="J36" s="21">
        <v>532</v>
      </c>
      <c r="K36" s="21">
        <v>5040</v>
      </c>
      <c r="L36" s="30">
        <f>MT1_[[#This Row],[Profit]]/MT1_[[#This Row],[Total Sales]]</f>
        <v>0.24</v>
      </c>
    </row>
    <row r="37" spans="1:12" ht="15.6" x14ac:dyDescent="0.3">
      <c r="A37" s="15">
        <v>1037</v>
      </c>
      <c r="B37" s="14">
        <v>45367</v>
      </c>
      <c r="C37" s="18" t="s">
        <v>15</v>
      </c>
      <c r="D37" s="18" t="s">
        <v>34</v>
      </c>
      <c r="E37" s="18" t="s">
        <v>30</v>
      </c>
      <c r="F37" s="18" t="s">
        <v>35</v>
      </c>
      <c r="G37" s="15">
        <v>4</v>
      </c>
      <c r="H37" s="20">
        <v>1200</v>
      </c>
      <c r="I37" s="21">
        <v>4800</v>
      </c>
      <c r="J37" s="21">
        <v>960</v>
      </c>
      <c r="K37" s="21">
        <v>960</v>
      </c>
      <c r="L37" s="30">
        <f>MT1_[[#This Row],[Profit]]/MT1_[[#This Row],[Total Sales]]</f>
        <v>0.2</v>
      </c>
    </row>
    <row r="38" spans="1:12" ht="15.6" x14ac:dyDescent="0.3">
      <c r="A38" s="15">
        <v>1038</v>
      </c>
      <c r="B38" s="14">
        <v>45309</v>
      </c>
      <c r="C38" s="18" t="s">
        <v>21</v>
      </c>
      <c r="D38" s="18" t="s">
        <v>16</v>
      </c>
      <c r="E38" s="18" t="s">
        <v>28</v>
      </c>
      <c r="F38" s="18" t="s">
        <v>23</v>
      </c>
      <c r="G38" s="15">
        <v>57</v>
      </c>
      <c r="H38" s="20">
        <v>50</v>
      </c>
      <c r="I38" s="21">
        <v>2850</v>
      </c>
      <c r="J38" s="21">
        <v>38.5</v>
      </c>
      <c r="K38" s="21">
        <v>655.5</v>
      </c>
      <c r="L38" s="30">
        <f>MT1_[[#This Row],[Profit]]/MT1_[[#This Row],[Total Sales]]</f>
        <v>0.23</v>
      </c>
    </row>
    <row r="39" spans="1:12" ht="15.6" x14ac:dyDescent="0.3">
      <c r="A39" s="15">
        <v>1039</v>
      </c>
      <c r="B39" s="14">
        <v>45311</v>
      </c>
      <c r="C39" s="18" t="s">
        <v>11</v>
      </c>
      <c r="D39" s="18" t="s">
        <v>12</v>
      </c>
      <c r="E39" s="18" t="s">
        <v>30</v>
      </c>
      <c r="F39" s="18" t="s">
        <v>26</v>
      </c>
      <c r="G39" s="15">
        <v>89</v>
      </c>
      <c r="H39" s="20">
        <v>15000</v>
      </c>
      <c r="I39" s="21">
        <v>1335000</v>
      </c>
      <c r="J39" s="21">
        <v>11550</v>
      </c>
      <c r="K39" s="21">
        <v>307050</v>
      </c>
      <c r="L39" s="30">
        <f>MT1_[[#This Row],[Profit]]/MT1_[[#This Row],[Total Sales]]</f>
        <v>0.23</v>
      </c>
    </row>
    <row r="40" spans="1:12" ht="15.6" x14ac:dyDescent="0.3">
      <c r="A40" s="15">
        <v>1040</v>
      </c>
      <c r="B40" s="14">
        <v>45308</v>
      </c>
      <c r="C40" s="18" t="s">
        <v>11</v>
      </c>
      <c r="D40" s="18" t="s">
        <v>34</v>
      </c>
      <c r="E40" s="18" t="s">
        <v>17</v>
      </c>
      <c r="F40" s="18" t="s">
        <v>23</v>
      </c>
      <c r="G40" s="15">
        <v>60</v>
      </c>
      <c r="H40" s="20">
        <v>250</v>
      </c>
      <c r="I40" s="21">
        <v>15000</v>
      </c>
      <c r="J40" s="21">
        <v>200</v>
      </c>
      <c r="K40" s="21">
        <v>3000</v>
      </c>
      <c r="L40" s="30">
        <f>MT1_[[#This Row],[Profit]]/MT1_[[#This Row],[Total Sales]]</f>
        <v>0.2</v>
      </c>
    </row>
    <row r="41" spans="1:12" ht="15.6" x14ac:dyDescent="0.3">
      <c r="A41" s="15">
        <v>1041</v>
      </c>
      <c r="B41" s="14">
        <v>45308</v>
      </c>
      <c r="C41" s="18" t="s">
        <v>21</v>
      </c>
      <c r="D41" s="18" t="s">
        <v>12</v>
      </c>
      <c r="E41" s="18" t="s">
        <v>30</v>
      </c>
      <c r="F41" s="18" t="s">
        <v>14</v>
      </c>
      <c r="G41" s="15">
        <v>50</v>
      </c>
      <c r="H41" s="20">
        <v>50</v>
      </c>
      <c r="I41" s="21">
        <v>2500</v>
      </c>
      <c r="J41" s="21">
        <v>36.5</v>
      </c>
      <c r="K41" s="21">
        <v>675</v>
      </c>
      <c r="L41" s="30">
        <f>MT1_[[#This Row],[Profit]]/MT1_[[#This Row],[Total Sales]]</f>
        <v>0.27</v>
      </c>
    </row>
    <row r="42" spans="1:12" ht="15.6" x14ac:dyDescent="0.3">
      <c r="A42" s="15">
        <v>1042</v>
      </c>
      <c r="B42" s="14">
        <v>45377</v>
      </c>
      <c r="C42" s="18" t="s">
        <v>11</v>
      </c>
      <c r="D42" s="18" t="s">
        <v>16</v>
      </c>
      <c r="E42" s="18" t="s">
        <v>25</v>
      </c>
      <c r="F42" s="18" t="s">
        <v>27</v>
      </c>
      <c r="G42" s="15">
        <v>23</v>
      </c>
      <c r="H42" s="20">
        <v>700</v>
      </c>
      <c r="I42" s="21">
        <v>16100</v>
      </c>
      <c r="J42" s="21">
        <v>546</v>
      </c>
      <c r="K42" s="21">
        <v>3542</v>
      </c>
      <c r="L42" s="30">
        <f>MT1_[[#This Row],[Profit]]/MT1_[[#This Row],[Total Sales]]</f>
        <v>0.22</v>
      </c>
    </row>
    <row r="43" spans="1:12" ht="15.6" x14ac:dyDescent="0.3">
      <c r="A43" s="15">
        <v>1043</v>
      </c>
      <c r="B43" s="14">
        <v>45376</v>
      </c>
      <c r="C43" s="18" t="s">
        <v>19</v>
      </c>
      <c r="D43" s="18" t="s">
        <v>32</v>
      </c>
      <c r="E43" s="18" t="s">
        <v>13</v>
      </c>
      <c r="F43" s="18" t="s">
        <v>26</v>
      </c>
      <c r="G43" s="15">
        <v>94</v>
      </c>
      <c r="H43" s="20">
        <v>900</v>
      </c>
      <c r="I43" s="21">
        <v>84600</v>
      </c>
      <c r="J43" s="21">
        <v>684</v>
      </c>
      <c r="K43" s="21">
        <v>20304</v>
      </c>
      <c r="L43" s="30">
        <f>MT1_[[#This Row],[Profit]]/MT1_[[#This Row],[Total Sales]]</f>
        <v>0.24</v>
      </c>
    </row>
    <row r="44" spans="1:12" ht="15.6" x14ac:dyDescent="0.3">
      <c r="A44" s="15">
        <v>1044</v>
      </c>
      <c r="B44" s="14">
        <v>45361</v>
      </c>
      <c r="C44" s="18" t="s">
        <v>21</v>
      </c>
      <c r="D44" s="18" t="s">
        <v>32</v>
      </c>
      <c r="E44" s="18" t="s">
        <v>28</v>
      </c>
      <c r="F44" s="18" t="s">
        <v>29</v>
      </c>
      <c r="G44" s="15">
        <v>78</v>
      </c>
      <c r="H44" s="20">
        <v>300</v>
      </c>
      <c r="I44" s="21">
        <v>23400</v>
      </c>
      <c r="J44" s="21">
        <v>225</v>
      </c>
      <c r="K44" s="21">
        <v>5850</v>
      </c>
      <c r="L44" s="30">
        <f>MT1_[[#This Row],[Profit]]/MT1_[[#This Row],[Total Sales]]</f>
        <v>0.25</v>
      </c>
    </row>
    <row r="45" spans="1:12" ht="15.6" x14ac:dyDescent="0.3">
      <c r="A45" s="15">
        <v>1045</v>
      </c>
      <c r="B45" s="14">
        <v>45296</v>
      </c>
      <c r="C45" s="18" t="s">
        <v>15</v>
      </c>
      <c r="D45" s="18" t="s">
        <v>32</v>
      </c>
      <c r="E45" s="18" t="s">
        <v>30</v>
      </c>
      <c r="F45" s="18" t="s">
        <v>18</v>
      </c>
      <c r="G45" s="15">
        <v>49</v>
      </c>
      <c r="H45" s="20">
        <v>500</v>
      </c>
      <c r="I45" s="21">
        <v>24500</v>
      </c>
      <c r="J45" s="21">
        <v>435</v>
      </c>
      <c r="K45" s="21">
        <v>3185</v>
      </c>
      <c r="L45" s="30">
        <f>MT1_[[#This Row],[Profit]]/MT1_[[#This Row],[Total Sales]]</f>
        <v>0.13</v>
      </c>
    </row>
    <row r="46" spans="1:12" ht="15.6" x14ac:dyDescent="0.3">
      <c r="A46" s="15">
        <v>1046</v>
      </c>
      <c r="B46" s="14">
        <v>45331</v>
      </c>
      <c r="C46" s="18" t="s">
        <v>15</v>
      </c>
      <c r="D46" s="18" t="s">
        <v>12</v>
      </c>
      <c r="E46" s="18" t="s">
        <v>28</v>
      </c>
      <c r="F46" s="18" t="s">
        <v>23</v>
      </c>
      <c r="G46" s="15">
        <v>40</v>
      </c>
      <c r="H46" s="20">
        <v>1200</v>
      </c>
      <c r="I46" s="21">
        <v>48000</v>
      </c>
      <c r="J46" s="21">
        <v>1056</v>
      </c>
      <c r="K46" s="21">
        <v>5760</v>
      </c>
      <c r="L46" s="30">
        <f>MT1_[[#This Row],[Profit]]/MT1_[[#This Row],[Total Sales]]</f>
        <v>0.12</v>
      </c>
    </row>
    <row r="47" spans="1:12" ht="15.6" x14ac:dyDescent="0.3">
      <c r="A47" s="15">
        <v>1047</v>
      </c>
      <c r="B47" s="14">
        <v>45298</v>
      </c>
      <c r="C47" s="18" t="s">
        <v>20</v>
      </c>
      <c r="D47" s="18" t="s">
        <v>32</v>
      </c>
      <c r="E47" s="18" t="s">
        <v>28</v>
      </c>
      <c r="F47" s="18" t="s">
        <v>14</v>
      </c>
      <c r="G47" s="15">
        <v>17</v>
      </c>
      <c r="H47" s="20">
        <v>900</v>
      </c>
      <c r="I47" s="21">
        <v>15300</v>
      </c>
      <c r="J47" s="21">
        <v>666</v>
      </c>
      <c r="K47" s="21">
        <v>3978</v>
      </c>
      <c r="L47" s="30">
        <f>MT1_[[#This Row],[Profit]]/MT1_[[#This Row],[Total Sales]]</f>
        <v>0.26</v>
      </c>
    </row>
    <row r="48" spans="1:12" ht="15.6" x14ac:dyDescent="0.3">
      <c r="A48" s="15">
        <v>1048</v>
      </c>
      <c r="B48" s="14">
        <v>45294</v>
      </c>
      <c r="C48" s="18" t="s">
        <v>20</v>
      </c>
      <c r="D48" s="18" t="s">
        <v>12</v>
      </c>
      <c r="E48" s="18" t="s">
        <v>13</v>
      </c>
      <c r="F48" s="18" t="s">
        <v>14</v>
      </c>
      <c r="G48" s="15">
        <v>84</v>
      </c>
      <c r="H48" s="20">
        <v>700</v>
      </c>
      <c r="I48" s="21">
        <v>58800</v>
      </c>
      <c r="J48" s="21">
        <v>574</v>
      </c>
      <c r="K48" s="21">
        <v>10584</v>
      </c>
      <c r="L48" s="30">
        <f>MT1_[[#This Row],[Profit]]/MT1_[[#This Row],[Total Sales]]</f>
        <v>0.18</v>
      </c>
    </row>
    <row r="49" spans="1:12" ht="15.6" x14ac:dyDescent="0.3">
      <c r="A49" s="15">
        <v>1049</v>
      </c>
      <c r="B49" s="14">
        <v>45331</v>
      </c>
      <c r="C49" s="18" t="s">
        <v>11</v>
      </c>
      <c r="D49" s="18" t="s">
        <v>33</v>
      </c>
      <c r="E49" s="18" t="s">
        <v>28</v>
      </c>
      <c r="F49" s="18" t="s">
        <v>18</v>
      </c>
      <c r="G49" s="15">
        <v>38</v>
      </c>
      <c r="H49" s="20">
        <v>500</v>
      </c>
      <c r="I49" s="21">
        <v>19000</v>
      </c>
      <c r="J49" s="21">
        <v>445</v>
      </c>
      <c r="K49" s="21">
        <v>2090</v>
      </c>
      <c r="L49" s="30">
        <f>MT1_[[#This Row],[Profit]]/MT1_[[#This Row],[Total Sales]]</f>
        <v>0.11</v>
      </c>
    </row>
    <row r="50" spans="1:12" ht="15.6" x14ac:dyDescent="0.3">
      <c r="A50" s="15">
        <v>1050</v>
      </c>
      <c r="B50" s="14">
        <v>45337</v>
      </c>
      <c r="C50" s="18" t="s">
        <v>21</v>
      </c>
      <c r="D50" s="18" t="s">
        <v>16</v>
      </c>
      <c r="E50" s="18" t="s">
        <v>28</v>
      </c>
      <c r="F50" s="18" t="s">
        <v>31</v>
      </c>
      <c r="G50" s="15">
        <v>25</v>
      </c>
      <c r="H50" s="20">
        <v>15000</v>
      </c>
      <c r="I50" s="21">
        <v>375000</v>
      </c>
      <c r="J50" s="21">
        <v>11250</v>
      </c>
      <c r="K50" s="21">
        <v>93750</v>
      </c>
      <c r="L50" s="30">
        <f>MT1_[[#This Row],[Profit]]/MT1_[[#This Row],[Total Sales]]</f>
        <v>0.25</v>
      </c>
    </row>
    <row r="51" spans="1:12" ht="15.6" x14ac:dyDescent="0.3">
      <c r="A51" s="15">
        <v>1051</v>
      </c>
      <c r="B51" s="14">
        <v>45333</v>
      </c>
      <c r="C51" s="18" t="s">
        <v>20</v>
      </c>
      <c r="D51" s="18" t="s">
        <v>12</v>
      </c>
      <c r="E51" s="18" t="s">
        <v>25</v>
      </c>
      <c r="F51" s="18" t="s">
        <v>36</v>
      </c>
      <c r="G51" s="15">
        <v>10</v>
      </c>
      <c r="H51" s="20">
        <v>900</v>
      </c>
      <c r="I51" s="21">
        <v>9000</v>
      </c>
      <c r="J51" s="21">
        <v>810</v>
      </c>
      <c r="K51" s="21">
        <v>900</v>
      </c>
      <c r="L51" s="30">
        <f>MT1_[[#This Row],[Profit]]/MT1_[[#This Row],[Total Sales]]</f>
        <v>0.1</v>
      </c>
    </row>
    <row r="52" spans="1:12" ht="15.6" x14ac:dyDescent="0.3">
      <c r="A52" s="15">
        <v>1052</v>
      </c>
      <c r="B52" s="14">
        <v>45369</v>
      </c>
      <c r="C52" s="18" t="s">
        <v>21</v>
      </c>
      <c r="D52" s="18" t="s">
        <v>12</v>
      </c>
      <c r="E52" s="18" t="s">
        <v>30</v>
      </c>
      <c r="F52" s="18" t="s">
        <v>31</v>
      </c>
      <c r="G52" s="15">
        <v>86</v>
      </c>
      <c r="H52" s="20">
        <v>900</v>
      </c>
      <c r="I52" s="21">
        <v>77400</v>
      </c>
      <c r="J52" s="21">
        <v>630</v>
      </c>
      <c r="K52" s="21">
        <v>23220</v>
      </c>
      <c r="L52" s="30">
        <f>MT1_[[#This Row],[Profit]]/MT1_[[#This Row],[Total Sales]]</f>
        <v>0.3</v>
      </c>
    </row>
    <row r="53" spans="1:12" ht="15.6" x14ac:dyDescent="0.3">
      <c r="A53" s="15">
        <v>1053</v>
      </c>
      <c r="B53" s="14">
        <v>45350</v>
      </c>
      <c r="C53" s="18" t="s">
        <v>21</v>
      </c>
      <c r="D53" s="18" t="s">
        <v>34</v>
      </c>
      <c r="E53" s="18" t="s">
        <v>17</v>
      </c>
      <c r="F53" s="18" t="s">
        <v>35</v>
      </c>
      <c r="G53" s="15">
        <v>73</v>
      </c>
      <c r="H53" s="20">
        <v>700</v>
      </c>
      <c r="I53" s="21">
        <v>51100</v>
      </c>
      <c r="J53" s="21">
        <v>560</v>
      </c>
      <c r="K53" s="21">
        <v>10220</v>
      </c>
      <c r="L53" s="30">
        <f>MT1_[[#This Row],[Profit]]/MT1_[[#This Row],[Total Sales]]</f>
        <v>0.2</v>
      </c>
    </row>
    <row r="54" spans="1:12" ht="15.6" x14ac:dyDescent="0.3">
      <c r="A54" s="15">
        <v>1054</v>
      </c>
      <c r="B54" s="14">
        <v>45331</v>
      </c>
      <c r="C54" s="18" t="s">
        <v>20</v>
      </c>
      <c r="D54" s="18" t="s">
        <v>33</v>
      </c>
      <c r="E54" s="18" t="s">
        <v>30</v>
      </c>
      <c r="F54" s="18" t="s">
        <v>35</v>
      </c>
      <c r="G54" s="15">
        <v>38</v>
      </c>
      <c r="H54" s="20">
        <v>50</v>
      </c>
      <c r="I54" s="21">
        <v>1900</v>
      </c>
      <c r="J54" s="21">
        <v>38</v>
      </c>
      <c r="K54" s="21">
        <v>456</v>
      </c>
      <c r="L54" s="30">
        <f>MT1_[[#This Row],[Profit]]/MT1_[[#This Row],[Total Sales]]</f>
        <v>0.24</v>
      </c>
    </row>
    <row r="55" spans="1:12" ht="15.6" x14ac:dyDescent="0.3">
      <c r="A55" s="15">
        <v>1055</v>
      </c>
      <c r="B55" s="14">
        <v>45359</v>
      </c>
      <c r="C55" s="18" t="s">
        <v>11</v>
      </c>
      <c r="D55" s="18" t="s">
        <v>16</v>
      </c>
      <c r="E55" s="18" t="s">
        <v>28</v>
      </c>
      <c r="F55" s="18" t="s">
        <v>18</v>
      </c>
      <c r="G55" s="15">
        <v>28</v>
      </c>
      <c r="H55" s="20">
        <v>50</v>
      </c>
      <c r="I55" s="21">
        <v>1400</v>
      </c>
      <c r="J55" s="21">
        <v>45</v>
      </c>
      <c r="K55" s="21">
        <v>140</v>
      </c>
      <c r="L55" s="30">
        <f>MT1_[[#This Row],[Profit]]/MT1_[[#This Row],[Total Sales]]</f>
        <v>0.1</v>
      </c>
    </row>
    <row r="56" spans="1:12" ht="15.6" x14ac:dyDescent="0.3">
      <c r="A56" s="15">
        <v>1056</v>
      </c>
      <c r="B56" s="14">
        <v>45364</v>
      </c>
      <c r="C56" s="18" t="s">
        <v>20</v>
      </c>
      <c r="D56" s="18" t="s">
        <v>16</v>
      </c>
      <c r="E56" s="18" t="s">
        <v>17</v>
      </c>
      <c r="F56" s="18" t="s">
        <v>26</v>
      </c>
      <c r="G56" s="15">
        <v>23</v>
      </c>
      <c r="H56" s="20">
        <v>50</v>
      </c>
      <c r="I56" s="21">
        <v>1150</v>
      </c>
      <c r="J56" s="21">
        <v>42.5</v>
      </c>
      <c r="K56" s="21">
        <v>172.5</v>
      </c>
      <c r="L56" s="30">
        <f>MT1_[[#This Row],[Profit]]/MT1_[[#This Row],[Total Sales]]</f>
        <v>0.15</v>
      </c>
    </row>
    <row r="57" spans="1:12" ht="15.6" x14ac:dyDescent="0.3">
      <c r="A57" s="15">
        <v>1057</v>
      </c>
      <c r="B57" s="14">
        <v>45357</v>
      </c>
      <c r="C57" s="18" t="s">
        <v>15</v>
      </c>
      <c r="D57" s="18" t="s">
        <v>34</v>
      </c>
      <c r="E57" s="18" t="s">
        <v>25</v>
      </c>
      <c r="F57" s="18" t="s">
        <v>14</v>
      </c>
      <c r="G57" s="15">
        <v>79</v>
      </c>
      <c r="H57" s="20">
        <v>700</v>
      </c>
      <c r="I57" s="21">
        <v>55300</v>
      </c>
      <c r="J57" s="21">
        <v>518</v>
      </c>
      <c r="K57" s="21">
        <v>14378</v>
      </c>
      <c r="L57" s="30">
        <f>MT1_[[#This Row],[Profit]]/MT1_[[#This Row],[Total Sales]]</f>
        <v>0.26</v>
      </c>
    </row>
    <row r="58" spans="1:12" ht="15.6" x14ac:dyDescent="0.3">
      <c r="A58" s="15">
        <v>1058</v>
      </c>
      <c r="B58" s="14">
        <v>45301</v>
      </c>
      <c r="C58" s="18" t="s">
        <v>15</v>
      </c>
      <c r="D58" s="18" t="s">
        <v>33</v>
      </c>
      <c r="E58" s="18" t="s">
        <v>17</v>
      </c>
      <c r="F58" s="18" t="s">
        <v>14</v>
      </c>
      <c r="G58" s="15">
        <v>42</v>
      </c>
      <c r="H58" s="20">
        <v>15000</v>
      </c>
      <c r="I58" s="21">
        <v>630000</v>
      </c>
      <c r="J58" s="21">
        <v>12450</v>
      </c>
      <c r="K58" s="21">
        <v>107100</v>
      </c>
      <c r="L58" s="30">
        <f>MT1_[[#This Row],[Profit]]/MT1_[[#This Row],[Total Sales]]</f>
        <v>0.17</v>
      </c>
    </row>
    <row r="59" spans="1:12" ht="15.6" x14ac:dyDescent="0.3">
      <c r="A59" s="15">
        <v>1059</v>
      </c>
      <c r="B59" s="14">
        <v>45327</v>
      </c>
      <c r="C59" s="18" t="s">
        <v>21</v>
      </c>
      <c r="D59" s="18" t="s">
        <v>32</v>
      </c>
      <c r="E59" s="18" t="s">
        <v>13</v>
      </c>
      <c r="F59" s="18" t="s">
        <v>36</v>
      </c>
      <c r="G59" s="15">
        <v>78</v>
      </c>
      <c r="H59" s="20">
        <v>250</v>
      </c>
      <c r="I59" s="21">
        <v>19500</v>
      </c>
      <c r="J59" s="21">
        <v>195</v>
      </c>
      <c r="K59" s="21">
        <v>4290</v>
      </c>
      <c r="L59" s="30">
        <f>MT1_[[#This Row],[Profit]]/MT1_[[#This Row],[Total Sales]]</f>
        <v>0.22</v>
      </c>
    </row>
    <row r="60" spans="1:12" ht="15.6" x14ac:dyDescent="0.3">
      <c r="A60" s="15">
        <v>1060</v>
      </c>
      <c r="B60" s="14">
        <v>45340</v>
      </c>
      <c r="C60" s="18" t="s">
        <v>11</v>
      </c>
      <c r="D60" s="18" t="s">
        <v>12</v>
      </c>
      <c r="E60" s="18" t="s">
        <v>17</v>
      </c>
      <c r="F60" s="18" t="s">
        <v>14</v>
      </c>
      <c r="G60" s="15">
        <v>96</v>
      </c>
      <c r="H60" s="20">
        <v>500</v>
      </c>
      <c r="I60" s="21">
        <v>48000</v>
      </c>
      <c r="J60" s="21">
        <v>430</v>
      </c>
      <c r="K60" s="21">
        <v>6720</v>
      </c>
      <c r="L60" s="30">
        <f>MT1_[[#This Row],[Profit]]/MT1_[[#This Row],[Total Sales]]</f>
        <v>0.14000000000000001</v>
      </c>
    </row>
    <row r="61" spans="1:12" ht="15.6" x14ac:dyDescent="0.3">
      <c r="A61" s="15">
        <v>1060</v>
      </c>
      <c r="B61" s="14">
        <v>45373</v>
      </c>
      <c r="C61" s="18" t="s">
        <v>15</v>
      </c>
      <c r="D61" s="18" t="s">
        <v>32</v>
      </c>
      <c r="E61" s="18" t="s">
        <v>17</v>
      </c>
      <c r="F61" s="18" t="s">
        <v>35</v>
      </c>
      <c r="G61" s="15">
        <v>12</v>
      </c>
      <c r="H61" s="20">
        <v>250</v>
      </c>
      <c r="I61" s="21">
        <v>3000</v>
      </c>
      <c r="J61" s="21">
        <v>215</v>
      </c>
      <c r="K61" s="21">
        <v>420</v>
      </c>
      <c r="L61" s="30">
        <f>MT1_[[#This Row],[Profit]]/MT1_[[#This Row],[Total Sales]]</f>
        <v>0.14000000000000001</v>
      </c>
    </row>
    <row r="62" spans="1:12" ht="15.6" x14ac:dyDescent="0.3">
      <c r="A62" s="15">
        <v>1062</v>
      </c>
      <c r="B62" s="14">
        <v>45378</v>
      </c>
      <c r="C62" s="18" t="s">
        <v>15</v>
      </c>
      <c r="D62" s="18" t="s">
        <v>34</v>
      </c>
      <c r="E62" s="18" t="s">
        <v>13</v>
      </c>
      <c r="F62" s="18" t="s">
        <v>24</v>
      </c>
      <c r="G62" s="15">
        <v>14</v>
      </c>
      <c r="H62" s="20">
        <v>500</v>
      </c>
      <c r="I62" s="21">
        <v>7000</v>
      </c>
      <c r="J62" s="21">
        <v>390</v>
      </c>
      <c r="K62" s="21">
        <v>1540</v>
      </c>
      <c r="L62" s="30">
        <f>MT1_[[#This Row],[Profit]]/MT1_[[#This Row],[Total Sales]]</f>
        <v>0.22</v>
      </c>
    </row>
    <row r="63" spans="1:12" ht="15.6" x14ac:dyDescent="0.3">
      <c r="A63" s="15">
        <v>1063</v>
      </c>
      <c r="B63" s="14">
        <v>45376</v>
      </c>
      <c r="C63" s="18" t="s">
        <v>19</v>
      </c>
      <c r="D63" s="18" t="s">
        <v>32</v>
      </c>
      <c r="E63" s="18" t="s">
        <v>30</v>
      </c>
      <c r="F63" s="18" t="s">
        <v>23</v>
      </c>
      <c r="G63" s="15">
        <v>90</v>
      </c>
      <c r="H63" s="20">
        <v>500</v>
      </c>
      <c r="I63" s="21">
        <v>45000</v>
      </c>
      <c r="J63" s="21">
        <v>370</v>
      </c>
      <c r="K63" s="21">
        <v>11700</v>
      </c>
      <c r="L63" s="30">
        <f>MT1_[[#This Row],[Profit]]/MT1_[[#This Row],[Total Sales]]</f>
        <v>0.26</v>
      </c>
    </row>
    <row r="64" spans="1:12" ht="15.6" x14ac:dyDescent="0.3">
      <c r="A64" s="15">
        <v>1064</v>
      </c>
      <c r="B64" s="14">
        <v>45372</v>
      </c>
      <c r="C64" s="18" t="s">
        <v>21</v>
      </c>
      <c r="D64" s="18" t="s">
        <v>33</v>
      </c>
      <c r="E64" s="18" t="s">
        <v>13</v>
      </c>
      <c r="F64" s="18" t="s">
        <v>23</v>
      </c>
      <c r="G64" s="15">
        <v>25</v>
      </c>
      <c r="H64" s="20">
        <v>1200</v>
      </c>
      <c r="I64" s="21">
        <v>30000</v>
      </c>
      <c r="J64" s="21">
        <v>1080</v>
      </c>
      <c r="K64" s="21">
        <v>3000</v>
      </c>
      <c r="L64" s="30">
        <f>MT1_[[#This Row],[Profit]]/MT1_[[#This Row],[Total Sales]]</f>
        <v>0.1</v>
      </c>
    </row>
    <row r="65" spans="1:12" ht="15.6" x14ac:dyDescent="0.3">
      <c r="A65" s="15">
        <v>1065</v>
      </c>
      <c r="B65" s="14">
        <v>45335</v>
      </c>
      <c r="C65" s="18" t="s">
        <v>11</v>
      </c>
      <c r="D65" s="18" t="s">
        <v>16</v>
      </c>
      <c r="E65" s="18" t="s">
        <v>17</v>
      </c>
      <c r="F65" s="18" t="s">
        <v>23</v>
      </c>
      <c r="G65" s="15">
        <v>74</v>
      </c>
      <c r="H65" s="20">
        <v>250</v>
      </c>
      <c r="I65" s="21">
        <v>18500</v>
      </c>
      <c r="J65" s="21">
        <v>207.5</v>
      </c>
      <c r="K65" s="21">
        <v>3145</v>
      </c>
      <c r="L65" s="30">
        <f>MT1_[[#This Row],[Profit]]/MT1_[[#This Row],[Total Sales]]</f>
        <v>0.17</v>
      </c>
    </row>
    <row r="66" spans="1:12" ht="15.6" x14ac:dyDescent="0.3">
      <c r="A66" s="15">
        <v>1066</v>
      </c>
      <c r="B66" s="14">
        <v>45350</v>
      </c>
      <c r="C66" s="18" t="s">
        <v>19</v>
      </c>
      <c r="D66" s="18" t="s">
        <v>33</v>
      </c>
      <c r="E66" s="18" t="s">
        <v>17</v>
      </c>
      <c r="F66" s="18" t="s">
        <v>36</v>
      </c>
      <c r="G66" s="15">
        <v>50</v>
      </c>
      <c r="H66" s="20">
        <v>900</v>
      </c>
      <c r="I66" s="21">
        <v>45000</v>
      </c>
      <c r="J66" s="21">
        <v>756</v>
      </c>
      <c r="K66" s="21">
        <v>7200</v>
      </c>
      <c r="L66" s="30">
        <f>MT1_[[#This Row],[Profit]]/MT1_[[#This Row],[Total Sales]]</f>
        <v>0.16</v>
      </c>
    </row>
    <row r="67" spans="1:12" ht="15.6" x14ac:dyDescent="0.3">
      <c r="A67" s="15">
        <v>1067</v>
      </c>
      <c r="B67" s="14">
        <v>45378</v>
      </c>
      <c r="C67" s="18" t="s">
        <v>15</v>
      </c>
      <c r="D67" s="18" t="s">
        <v>32</v>
      </c>
      <c r="E67" s="18" t="s">
        <v>13</v>
      </c>
      <c r="F67" s="18" t="s">
        <v>36</v>
      </c>
      <c r="G67" s="15">
        <v>8</v>
      </c>
      <c r="H67" s="20">
        <v>150</v>
      </c>
      <c r="I67" s="21">
        <v>1200</v>
      </c>
      <c r="J67" s="21">
        <v>121.5</v>
      </c>
      <c r="K67" s="21">
        <v>228</v>
      </c>
      <c r="L67" s="30">
        <f>MT1_[[#This Row],[Profit]]/MT1_[[#This Row],[Total Sales]]</f>
        <v>0.19</v>
      </c>
    </row>
    <row r="68" spans="1:12" ht="15.6" x14ac:dyDescent="0.3">
      <c r="A68" s="15">
        <v>1068</v>
      </c>
      <c r="B68" s="14">
        <v>45295</v>
      </c>
      <c r="C68" s="18" t="s">
        <v>20</v>
      </c>
      <c r="D68" s="18" t="s">
        <v>12</v>
      </c>
      <c r="E68" s="18" t="s">
        <v>25</v>
      </c>
      <c r="F68" s="18" t="s">
        <v>35</v>
      </c>
      <c r="G68" s="15">
        <v>58</v>
      </c>
      <c r="H68" s="20">
        <v>15000</v>
      </c>
      <c r="I68" s="21">
        <v>870000</v>
      </c>
      <c r="J68" s="21">
        <v>10800</v>
      </c>
      <c r="K68" s="21">
        <v>243600</v>
      </c>
      <c r="L68" s="30">
        <f>MT1_[[#This Row],[Profit]]/MT1_[[#This Row],[Total Sales]]</f>
        <v>0.28000000000000003</v>
      </c>
    </row>
    <row r="69" spans="1:12" ht="15.6" x14ac:dyDescent="0.3">
      <c r="A69" s="15">
        <v>1069</v>
      </c>
      <c r="B69" s="14">
        <v>45334</v>
      </c>
      <c r="C69" s="18" t="s">
        <v>20</v>
      </c>
      <c r="D69" s="18" t="s">
        <v>12</v>
      </c>
      <c r="E69" s="18" t="s">
        <v>17</v>
      </c>
      <c r="F69" s="18" t="s">
        <v>18</v>
      </c>
      <c r="G69" s="15">
        <v>49</v>
      </c>
      <c r="H69" s="20">
        <v>250</v>
      </c>
      <c r="I69" s="21">
        <v>12250</v>
      </c>
      <c r="J69" s="21">
        <v>222.5</v>
      </c>
      <c r="K69" s="21">
        <v>1347.5</v>
      </c>
      <c r="L69" s="30">
        <f>MT1_[[#This Row],[Profit]]/MT1_[[#This Row],[Total Sales]]</f>
        <v>0.11</v>
      </c>
    </row>
    <row r="70" spans="1:12" ht="15.6" x14ac:dyDescent="0.3">
      <c r="A70" s="15">
        <v>1070</v>
      </c>
      <c r="B70" s="14">
        <v>45299</v>
      </c>
      <c r="C70" s="18" t="s">
        <v>21</v>
      </c>
      <c r="D70" s="18" t="s">
        <v>12</v>
      </c>
      <c r="E70" s="18" t="s">
        <v>28</v>
      </c>
      <c r="F70" s="18" t="s">
        <v>35</v>
      </c>
      <c r="G70" s="15">
        <v>91</v>
      </c>
      <c r="H70" s="20">
        <v>30000</v>
      </c>
      <c r="I70" s="21">
        <v>2730000</v>
      </c>
      <c r="J70" s="21">
        <v>24300</v>
      </c>
      <c r="K70" s="21">
        <v>518700</v>
      </c>
      <c r="L70" s="30">
        <f>MT1_[[#This Row],[Profit]]/MT1_[[#This Row],[Total Sales]]</f>
        <v>0.19</v>
      </c>
    </row>
    <row r="71" spans="1:12" ht="15.6" x14ac:dyDescent="0.3">
      <c r="A71" s="15">
        <v>1071</v>
      </c>
      <c r="B71" s="14">
        <v>45335</v>
      </c>
      <c r="C71" s="18" t="s">
        <v>21</v>
      </c>
      <c r="D71" s="18" t="s">
        <v>33</v>
      </c>
      <c r="E71" s="18" t="s">
        <v>28</v>
      </c>
      <c r="F71" s="18" t="s">
        <v>27</v>
      </c>
      <c r="G71" s="15">
        <v>9</v>
      </c>
      <c r="H71" s="20">
        <v>300</v>
      </c>
      <c r="I71" s="21">
        <v>2700</v>
      </c>
      <c r="J71" s="21">
        <v>255</v>
      </c>
      <c r="K71" s="21">
        <v>405</v>
      </c>
      <c r="L71" s="30">
        <f>MT1_[[#This Row],[Profit]]/MT1_[[#This Row],[Total Sales]]</f>
        <v>0.15</v>
      </c>
    </row>
    <row r="72" spans="1:12" ht="15.6" x14ac:dyDescent="0.3">
      <c r="A72" s="15">
        <v>1072</v>
      </c>
      <c r="B72" s="14">
        <v>45309</v>
      </c>
      <c r="C72" s="18" t="s">
        <v>15</v>
      </c>
      <c r="D72" s="18" t="s">
        <v>12</v>
      </c>
      <c r="E72" s="18" t="s">
        <v>25</v>
      </c>
      <c r="F72" s="18" t="s">
        <v>31</v>
      </c>
      <c r="G72" s="15">
        <v>85</v>
      </c>
      <c r="H72" s="20">
        <v>50</v>
      </c>
      <c r="I72" s="21">
        <v>4250</v>
      </c>
      <c r="J72" s="21">
        <v>38</v>
      </c>
      <c r="K72" s="21">
        <v>1020</v>
      </c>
      <c r="L72" s="30">
        <f>MT1_[[#This Row],[Profit]]/MT1_[[#This Row],[Total Sales]]</f>
        <v>0.24</v>
      </c>
    </row>
    <row r="73" spans="1:12" ht="15.6" x14ac:dyDescent="0.3">
      <c r="A73" s="15">
        <v>1073</v>
      </c>
      <c r="B73" s="14">
        <v>45343</v>
      </c>
      <c r="C73" s="18" t="s">
        <v>15</v>
      </c>
      <c r="D73" s="18" t="s">
        <v>32</v>
      </c>
      <c r="E73" s="18" t="s">
        <v>17</v>
      </c>
      <c r="F73" s="18" t="s">
        <v>31</v>
      </c>
      <c r="G73" s="15">
        <v>28</v>
      </c>
      <c r="H73" s="20">
        <v>15000</v>
      </c>
      <c r="I73" s="21">
        <v>420000</v>
      </c>
      <c r="J73" s="21">
        <v>11700</v>
      </c>
      <c r="K73" s="21">
        <v>92400</v>
      </c>
      <c r="L73" s="30">
        <f>MT1_[[#This Row],[Profit]]/MT1_[[#This Row],[Total Sales]]</f>
        <v>0.22</v>
      </c>
    </row>
    <row r="74" spans="1:12" ht="15.6" x14ac:dyDescent="0.3">
      <c r="A74" s="15">
        <v>1074</v>
      </c>
      <c r="B74" s="14">
        <v>45310</v>
      </c>
      <c r="C74" s="18" t="s">
        <v>21</v>
      </c>
      <c r="D74" s="18" t="s">
        <v>32</v>
      </c>
      <c r="E74" s="18" t="s">
        <v>28</v>
      </c>
      <c r="F74" s="18" t="s">
        <v>36</v>
      </c>
      <c r="G74" s="15">
        <v>73</v>
      </c>
      <c r="H74" s="20">
        <v>700</v>
      </c>
      <c r="I74" s="21">
        <v>51100</v>
      </c>
      <c r="J74" s="21">
        <v>490</v>
      </c>
      <c r="K74" s="21">
        <v>15330</v>
      </c>
      <c r="L74" s="30">
        <f>MT1_[[#This Row],[Profit]]/MT1_[[#This Row],[Total Sales]]</f>
        <v>0.3</v>
      </c>
    </row>
    <row r="75" spans="1:12" ht="15.6" x14ac:dyDescent="0.3">
      <c r="A75" s="15">
        <v>1075</v>
      </c>
      <c r="B75" s="14">
        <v>45338</v>
      </c>
      <c r="C75" s="18" t="s">
        <v>19</v>
      </c>
      <c r="D75" s="18" t="s">
        <v>12</v>
      </c>
      <c r="E75" s="18" t="s">
        <v>17</v>
      </c>
      <c r="F75" s="18" t="s">
        <v>14</v>
      </c>
      <c r="G75" s="15">
        <v>10</v>
      </c>
      <c r="H75" s="20">
        <v>500</v>
      </c>
      <c r="I75" s="21">
        <v>5000</v>
      </c>
      <c r="J75" s="21">
        <v>355</v>
      </c>
      <c r="K75" s="21">
        <v>1450</v>
      </c>
      <c r="L75" s="30">
        <f>MT1_[[#This Row],[Profit]]/MT1_[[#This Row],[Total Sales]]</f>
        <v>0.28999999999999998</v>
      </c>
    </row>
    <row r="76" spans="1:12" ht="15.6" x14ac:dyDescent="0.3">
      <c r="A76" s="15">
        <v>1076</v>
      </c>
      <c r="B76" s="14">
        <v>45363</v>
      </c>
      <c r="C76" s="18" t="s">
        <v>15</v>
      </c>
      <c r="D76" s="18" t="s">
        <v>32</v>
      </c>
      <c r="E76" s="18" t="s">
        <v>30</v>
      </c>
      <c r="F76" s="18" t="s">
        <v>14</v>
      </c>
      <c r="G76" s="15">
        <v>82</v>
      </c>
      <c r="H76" s="20">
        <v>500</v>
      </c>
      <c r="I76" s="21">
        <v>41000</v>
      </c>
      <c r="J76" s="21">
        <v>370</v>
      </c>
      <c r="K76" s="21">
        <v>10660</v>
      </c>
      <c r="L76" s="30">
        <f>MT1_[[#This Row],[Profit]]/MT1_[[#This Row],[Total Sales]]</f>
        <v>0.26</v>
      </c>
    </row>
    <row r="77" spans="1:12" ht="15.6" x14ac:dyDescent="0.3">
      <c r="A77" s="15">
        <v>1077</v>
      </c>
      <c r="B77" s="14">
        <v>45333</v>
      </c>
      <c r="C77" s="18" t="s">
        <v>19</v>
      </c>
      <c r="D77" s="18" t="s">
        <v>16</v>
      </c>
      <c r="E77" s="18" t="s">
        <v>28</v>
      </c>
      <c r="F77" s="18" t="s">
        <v>31</v>
      </c>
      <c r="G77" s="15">
        <v>77</v>
      </c>
      <c r="H77" s="20">
        <v>150</v>
      </c>
      <c r="I77" s="21">
        <v>11550</v>
      </c>
      <c r="J77" s="21">
        <v>111</v>
      </c>
      <c r="K77" s="21">
        <v>3003</v>
      </c>
      <c r="L77" s="30">
        <f>MT1_[[#This Row],[Profit]]/MT1_[[#This Row],[Total Sales]]</f>
        <v>0.26</v>
      </c>
    </row>
    <row r="78" spans="1:12" ht="15.6" x14ac:dyDescent="0.3">
      <c r="A78" s="15">
        <v>1078</v>
      </c>
      <c r="B78" s="14">
        <v>45311</v>
      </c>
      <c r="C78" s="18" t="s">
        <v>21</v>
      </c>
      <c r="D78" s="18" t="s">
        <v>32</v>
      </c>
      <c r="E78" s="18" t="s">
        <v>28</v>
      </c>
      <c r="F78" s="18" t="s">
        <v>31</v>
      </c>
      <c r="G78" s="15">
        <v>14</v>
      </c>
      <c r="H78" s="20">
        <v>900</v>
      </c>
      <c r="I78" s="21">
        <v>12600</v>
      </c>
      <c r="J78" s="21">
        <v>630</v>
      </c>
      <c r="K78" s="21">
        <v>3780</v>
      </c>
      <c r="L78" s="30">
        <f>MT1_[[#This Row],[Profit]]/MT1_[[#This Row],[Total Sales]]</f>
        <v>0.3</v>
      </c>
    </row>
    <row r="79" spans="1:12" ht="15.6" x14ac:dyDescent="0.3">
      <c r="A79" s="15">
        <v>1079</v>
      </c>
      <c r="B79" s="14">
        <v>45315</v>
      </c>
      <c r="C79" s="18" t="s">
        <v>20</v>
      </c>
      <c r="D79" s="18" t="s">
        <v>16</v>
      </c>
      <c r="E79" s="18" t="s">
        <v>13</v>
      </c>
      <c r="F79" s="18" t="s">
        <v>27</v>
      </c>
      <c r="G79" s="15">
        <v>84</v>
      </c>
      <c r="H79" s="20">
        <v>900</v>
      </c>
      <c r="I79" s="21">
        <v>75600</v>
      </c>
      <c r="J79" s="21">
        <v>774</v>
      </c>
      <c r="K79" s="21">
        <v>10584</v>
      </c>
      <c r="L79" s="30">
        <f>MT1_[[#This Row],[Profit]]/MT1_[[#This Row],[Total Sales]]</f>
        <v>0.14000000000000001</v>
      </c>
    </row>
    <row r="80" spans="1:12" ht="15.6" x14ac:dyDescent="0.3">
      <c r="A80" s="15">
        <v>1080</v>
      </c>
      <c r="B80" s="14">
        <v>45353</v>
      </c>
      <c r="C80" s="18" t="s">
        <v>19</v>
      </c>
      <c r="D80" s="18" t="s">
        <v>34</v>
      </c>
      <c r="E80" s="18" t="s">
        <v>28</v>
      </c>
      <c r="F80" s="18" t="s">
        <v>36</v>
      </c>
      <c r="G80" s="15">
        <v>56</v>
      </c>
      <c r="H80" s="20">
        <v>300</v>
      </c>
      <c r="I80" s="21">
        <v>16800</v>
      </c>
      <c r="J80" s="21">
        <v>243</v>
      </c>
      <c r="K80" s="21">
        <v>3192</v>
      </c>
      <c r="L80" s="30">
        <f>MT1_[[#This Row],[Profit]]/MT1_[[#This Row],[Total Sales]]</f>
        <v>0.19</v>
      </c>
    </row>
    <row r="81" spans="1:12" ht="15.6" x14ac:dyDescent="0.3">
      <c r="A81" s="15">
        <v>1081</v>
      </c>
      <c r="B81" s="14">
        <v>45361</v>
      </c>
      <c r="C81" s="18" t="s">
        <v>20</v>
      </c>
      <c r="D81" s="18" t="s">
        <v>33</v>
      </c>
      <c r="E81" s="18" t="s">
        <v>28</v>
      </c>
      <c r="F81" s="18" t="s">
        <v>35</v>
      </c>
      <c r="G81" s="15">
        <v>1</v>
      </c>
      <c r="H81" s="20">
        <v>250</v>
      </c>
      <c r="I81" s="21">
        <v>250</v>
      </c>
      <c r="J81" s="21">
        <v>195</v>
      </c>
      <c r="K81" s="21">
        <v>55</v>
      </c>
      <c r="L81" s="30">
        <f>MT1_[[#This Row],[Profit]]/MT1_[[#This Row],[Total Sales]]</f>
        <v>0.22</v>
      </c>
    </row>
    <row r="82" spans="1:12" ht="15.6" x14ac:dyDescent="0.3">
      <c r="A82" s="15">
        <v>1082</v>
      </c>
      <c r="B82" s="14">
        <v>45307</v>
      </c>
      <c r="C82" s="18" t="s">
        <v>19</v>
      </c>
      <c r="D82" s="18" t="s">
        <v>12</v>
      </c>
      <c r="E82" s="18" t="s">
        <v>25</v>
      </c>
      <c r="F82" s="18" t="s">
        <v>24</v>
      </c>
      <c r="G82" s="15">
        <v>38</v>
      </c>
      <c r="H82" s="20">
        <v>700</v>
      </c>
      <c r="I82" s="21">
        <v>26600</v>
      </c>
      <c r="J82" s="21">
        <v>630</v>
      </c>
      <c r="K82" s="21">
        <v>2660</v>
      </c>
      <c r="L82" s="30">
        <f>MT1_[[#This Row],[Profit]]/MT1_[[#This Row],[Total Sales]]</f>
        <v>0.1</v>
      </c>
    </row>
    <row r="83" spans="1:12" ht="15.6" x14ac:dyDescent="0.3">
      <c r="A83" s="15">
        <v>1083</v>
      </c>
      <c r="B83" s="14">
        <v>45292</v>
      </c>
      <c r="C83" s="18" t="s">
        <v>19</v>
      </c>
      <c r="D83" s="18" t="s">
        <v>34</v>
      </c>
      <c r="E83" s="18" t="s">
        <v>13</v>
      </c>
      <c r="F83" s="18" t="s">
        <v>23</v>
      </c>
      <c r="G83" s="15">
        <v>31</v>
      </c>
      <c r="H83" s="20">
        <v>15000</v>
      </c>
      <c r="I83" s="21">
        <v>465000</v>
      </c>
      <c r="J83" s="21">
        <v>12000</v>
      </c>
      <c r="K83" s="21">
        <v>93000</v>
      </c>
      <c r="L83" s="30">
        <f>MT1_[[#This Row],[Profit]]/MT1_[[#This Row],[Total Sales]]</f>
        <v>0.2</v>
      </c>
    </row>
    <row r="84" spans="1:12" ht="15.6" x14ac:dyDescent="0.3">
      <c r="A84" s="15">
        <v>1084</v>
      </c>
      <c r="B84" s="14">
        <v>45341</v>
      </c>
      <c r="C84" s="18" t="s">
        <v>11</v>
      </c>
      <c r="D84" s="18" t="s">
        <v>34</v>
      </c>
      <c r="E84" s="18" t="s">
        <v>30</v>
      </c>
      <c r="F84" s="18" t="s">
        <v>27</v>
      </c>
      <c r="G84" s="15">
        <v>96</v>
      </c>
      <c r="H84" s="20">
        <v>30000</v>
      </c>
      <c r="I84" s="21">
        <v>2880000</v>
      </c>
      <c r="J84" s="21">
        <v>26400</v>
      </c>
      <c r="K84" s="21">
        <v>345600</v>
      </c>
      <c r="L84" s="30">
        <f>MT1_[[#This Row],[Profit]]/MT1_[[#This Row],[Total Sales]]</f>
        <v>0.12</v>
      </c>
    </row>
    <row r="85" spans="1:12" ht="15.6" x14ac:dyDescent="0.3">
      <c r="A85" s="15">
        <v>1085</v>
      </c>
      <c r="B85" s="14">
        <v>45379</v>
      </c>
      <c r="C85" s="18" t="s">
        <v>19</v>
      </c>
      <c r="D85" s="18" t="s">
        <v>32</v>
      </c>
      <c r="E85" s="18" t="s">
        <v>28</v>
      </c>
      <c r="F85" s="18" t="s">
        <v>14</v>
      </c>
      <c r="G85" s="15">
        <v>47</v>
      </c>
      <c r="H85" s="20">
        <v>900</v>
      </c>
      <c r="I85" s="21">
        <v>42300</v>
      </c>
      <c r="J85" s="21">
        <v>630</v>
      </c>
      <c r="K85" s="21">
        <v>12690</v>
      </c>
      <c r="L85" s="30">
        <f>MT1_[[#This Row],[Profit]]/MT1_[[#This Row],[Total Sales]]</f>
        <v>0.3</v>
      </c>
    </row>
    <row r="86" spans="1:12" ht="15.6" x14ac:dyDescent="0.3">
      <c r="A86" s="15">
        <v>1086</v>
      </c>
      <c r="B86" s="14">
        <v>45351</v>
      </c>
      <c r="C86" s="18" t="s">
        <v>21</v>
      </c>
      <c r="D86" s="18" t="s">
        <v>16</v>
      </c>
      <c r="E86" s="18" t="s">
        <v>28</v>
      </c>
      <c r="F86" s="18" t="s">
        <v>26</v>
      </c>
      <c r="G86" s="15">
        <v>17</v>
      </c>
      <c r="H86" s="20">
        <v>30000</v>
      </c>
      <c r="I86" s="21">
        <v>510000</v>
      </c>
      <c r="J86" s="21">
        <v>26100</v>
      </c>
      <c r="K86" s="21">
        <v>66300</v>
      </c>
      <c r="L86" s="30">
        <f>MT1_[[#This Row],[Profit]]/MT1_[[#This Row],[Total Sales]]</f>
        <v>0.13</v>
      </c>
    </row>
    <row r="87" spans="1:12" ht="15.6" x14ac:dyDescent="0.3">
      <c r="A87" s="15">
        <v>1087</v>
      </c>
      <c r="B87" s="14">
        <v>45304</v>
      </c>
      <c r="C87" s="18" t="s">
        <v>20</v>
      </c>
      <c r="D87" s="18" t="s">
        <v>12</v>
      </c>
      <c r="E87" s="18" t="s">
        <v>30</v>
      </c>
      <c r="F87" s="18" t="s">
        <v>27</v>
      </c>
      <c r="G87" s="15">
        <v>4</v>
      </c>
      <c r="H87" s="20">
        <v>250</v>
      </c>
      <c r="I87" s="21">
        <v>1000</v>
      </c>
      <c r="J87" s="21">
        <v>215</v>
      </c>
      <c r="K87" s="21">
        <v>140</v>
      </c>
      <c r="L87" s="30">
        <f>MT1_[[#This Row],[Profit]]/MT1_[[#This Row],[Total Sales]]</f>
        <v>0.14000000000000001</v>
      </c>
    </row>
    <row r="88" spans="1:12" ht="15.6" x14ac:dyDescent="0.3">
      <c r="A88" s="15">
        <v>1088</v>
      </c>
      <c r="B88" s="14">
        <v>45362</v>
      </c>
      <c r="C88" s="18" t="s">
        <v>15</v>
      </c>
      <c r="D88" s="18" t="s">
        <v>32</v>
      </c>
      <c r="E88" s="18" t="s">
        <v>28</v>
      </c>
      <c r="F88" s="18" t="s">
        <v>31</v>
      </c>
      <c r="G88" s="15">
        <v>64</v>
      </c>
      <c r="H88" s="20">
        <v>700</v>
      </c>
      <c r="I88" s="21">
        <v>44800</v>
      </c>
      <c r="J88" s="21">
        <v>616</v>
      </c>
      <c r="K88" s="21">
        <v>5376</v>
      </c>
      <c r="L88" s="30">
        <f>MT1_[[#This Row],[Profit]]/MT1_[[#This Row],[Total Sales]]</f>
        <v>0.12</v>
      </c>
    </row>
    <row r="89" spans="1:12" ht="15.6" x14ac:dyDescent="0.3">
      <c r="A89" s="15">
        <v>1089</v>
      </c>
      <c r="B89" s="14">
        <v>45304</v>
      </c>
      <c r="C89" s="18" t="s">
        <v>21</v>
      </c>
      <c r="D89" s="18" t="s">
        <v>33</v>
      </c>
      <c r="E89" s="18" t="s">
        <v>13</v>
      </c>
      <c r="F89" s="18" t="s">
        <v>24</v>
      </c>
      <c r="G89" s="15">
        <v>22</v>
      </c>
      <c r="H89" s="20">
        <v>150</v>
      </c>
      <c r="I89" s="21">
        <v>3300</v>
      </c>
      <c r="J89" s="21">
        <v>132</v>
      </c>
      <c r="K89" s="21">
        <v>396</v>
      </c>
      <c r="L89" s="30">
        <f>MT1_[[#This Row],[Profit]]/MT1_[[#This Row],[Total Sales]]</f>
        <v>0.12</v>
      </c>
    </row>
    <row r="90" spans="1:12" ht="15.6" x14ac:dyDescent="0.3">
      <c r="A90" s="15">
        <v>1090</v>
      </c>
      <c r="B90" s="14">
        <v>45372</v>
      </c>
      <c r="C90" s="18" t="s">
        <v>19</v>
      </c>
      <c r="D90" s="18" t="s">
        <v>12</v>
      </c>
      <c r="E90" s="18" t="s">
        <v>28</v>
      </c>
      <c r="F90" s="18" t="s">
        <v>31</v>
      </c>
      <c r="G90" s="15">
        <v>98</v>
      </c>
      <c r="H90" s="20">
        <v>150</v>
      </c>
      <c r="I90" s="21">
        <v>14700</v>
      </c>
      <c r="J90" s="21">
        <v>132</v>
      </c>
      <c r="K90" s="21">
        <v>1764</v>
      </c>
      <c r="L90" s="30">
        <f>MT1_[[#This Row],[Profit]]/MT1_[[#This Row],[Total Sales]]</f>
        <v>0.12</v>
      </c>
    </row>
    <row r="91" spans="1:12" ht="15.6" x14ac:dyDescent="0.3">
      <c r="A91" s="15">
        <v>1091</v>
      </c>
      <c r="B91" s="14">
        <v>45338</v>
      </c>
      <c r="C91" s="18" t="s">
        <v>21</v>
      </c>
      <c r="D91" s="18" t="s">
        <v>16</v>
      </c>
      <c r="E91" s="18" t="s">
        <v>25</v>
      </c>
      <c r="F91" s="18" t="s">
        <v>27</v>
      </c>
      <c r="G91" s="15">
        <v>40</v>
      </c>
      <c r="H91" s="20">
        <v>1200</v>
      </c>
      <c r="I91" s="21">
        <v>48000</v>
      </c>
      <c r="J91" s="21">
        <v>1032</v>
      </c>
      <c r="K91" s="21">
        <v>6720</v>
      </c>
      <c r="L91" s="30">
        <f>MT1_[[#This Row],[Profit]]/MT1_[[#This Row],[Total Sales]]</f>
        <v>0.14000000000000001</v>
      </c>
    </row>
    <row r="92" spans="1:12" ht="15.6" x14ac:dyDescent="0.3">
      <c r="A92" s="15">
        <v>1092</v>
      </c>
      <c r="B92" s="14">
        <v>45314</v>
      </c>
      <c r="C92" s="18" t="s">
        <v>11</v>
      </c>
      <c r="D92" s="18" t="s">
        <v>16</v>
      </c>
      <c r="E92" s="18" t="s">
        <v>30</v>
      </c>
      <c r="F92" s="18" t="s">
        <v>23</v>
      </c>
      <c r="G92" s="15">
        <v>68</v>
      </c>
      <c r="H92" s="20">
        <v>1200</v>
      </c>
      <c r="I92" s="21">
        <v>81600</v>
      </c>
      <c r="J92" s="21">
        <v>912</v>
      </c>
      <c r="K92" s="21">
        <v>19584</v>
      </c>
      <c r="L92" s="30">
        <f>MT1_[[#This Row],[Profit]]/MT1_[[#This Row],[Total Sales]]</f>
        <v>0.24</v>
      </c>
    </row>
    <row r="93" spans="1:12" ht="15.6" x14ac:dyDescent="0.3">
      <c r="A93" s="15">
        <v>1093</v>
      </c>
      <c r="B93" s="14">
        <v>45292</v>
      </c>
      <c r="C93" s="18" t="s">
        <v>21</v>
      </c>
      <c r="D93" s="18" t="s">
        <v>34</v>
      </c>
      <c r="E93" s="18" t="s">
        <v>25</v>
      </c>
      <c r="F93" s="18" t="s">
        <v>36</v>
      </c>
      <c r="G93" s="15">
        <v>94</v>
      </c>
      <c r="H93" s="20">
        <v>15000</v>
      </c>
      <c r="I93" s="21">
        <v>1410000</v>
      </c>
      <c r="J93" s="21">
        <v>11700</v>
      </c>
      <c r="K93" s="21">
        <v>310200</v>
      </c>
      <c r="L93" s="30">
        <f>MT1_[[#This Row],[Profit]]/MT1_[[#This Row],[Total Sales]]</f>
        <v>0.22</v>
      </c>
    </row>
    <row r="94" spans="1:12" ht="15.6" x14ac:dyDescent="0.3">
      <c r="A94" s="15">
        <v>1094</v>
      </c>
      <c r="B94" s="14">
        <v>45328</v>
      </c>
      <c r="C94" s="18" t="s">
        <v>11</v>
      </c>
      <c r="D94" s="18" t="s">
        <v>16</v>
      </c>
      <c r="E94" s="18" t="s">
        <v>17</v>
      </c>
      <c r="F94" s="18" t="s">
        <v>23</v>
      </c>
      <c r="G94" s="15">
        <v>98</v>
      </c>
      <c r="H94" s="20">
        <v>250</v>
      </c>
      <c r="I94" s="21">
        <v>24500</v>
      </c>
      <c r="J94" s="21">
        <v>187.5</v>
      </c>
      <c r="K94" s="21">
        <v>6125</v>
      </c>
      <c r="L94" s="30">
        <f>MT1_[[#This Row],[Profit]]/MT1_[[#This Row],[Total Sales]]</f>
        <v>0.25</v>
      </c>
    </row>
    <row r="95" spans="1:12" ht="15.6" x14ac:dyDescent="0.3">
      <c r="A95" s="15">
        <v>1095</v>
      </c>
      <c r="B95" s="14">
        <v>45325</v>
      </c>
      <c r="C95" s="18" t="s">
        <v>19</v>
      </c>
      <c r="D95" s="18" t="s">
        <v>34</v>
      </c>
      <c r="E95" s="18" t="s">
        <v>28</v>
      </c>
      <c r="F95" s="18" t="s">
        <v>26</v>
      </c>
      <c r="G95" s="15">
        <v>70</v>
      </c>
      <c r="H95" s="20">
        <v>250</v>
      </c>
      <c r="I95" s="21">
        <v>17500</v>
      </c>
      <c r="J95" s="21">
        <v>217.5</v>
      </c>
      <c r="K95" s="21">
        <v>2275</v>
      </c>
      <c r="L95" s="30">
        <f>MT1_[[#This Row],[Profit]]/MT1_[[#This Row],[Total Sales]]</f>
        <v>0.13</v>
      </c>
    </row>
    <row r="96" spans="1:12" ht="15.6" x14ac:dyDescent="0.3">
      <c r="A96" s="15">
        <v>1096</v>
      </c>
      <c r="B96" s="14">
        <v>45317</v>
      </c>
      <c r="C96" s="18" t="s">
        <v>21</v>
      </c>
      <c r="D96" s="18" t="s">
        <v>12</v>
      </c>
      <c r="E96" s="18" t="s">
        <v>13</v>
      </c>
      <c r="F96" s="18" t="s">
        <v>26</v>
      </c>
      <c r="G96" s="15">
        <v>71</v>
      </c>
      <c r="H96" s="20">
        <v>900</v>
      </c>
      <c r="I96" s="21">
        <v>63900</v>
      </c>
      <c r="J96" s="21">
        <v>630</v>
      </c>
      <c r="K96" s="21">
        <v>19170</v>
      </c>
      <c r="L96" s="30">
        <f>MT1_[[#This Row],[Profit]]/MT1_[[#This Row],[Total Sales]]</f>
        <v>0.3</v>
      </c>
    </row>
    <row r="97" spans="1:12" ht="15.6" x14ac:dyDescent="0.3">
      <c r="A97" s="15">
        <v>1097</v>
      </c>
      <c r="B97" s="14">
        <v>45368</v>
      </c>
      <c r="C97" s="18" t="s">
        <v>21</v>
      </c>
      <c r="D97" s="18" t="s">
        <v>33</v>
      </c>
      <c r="E97" s="18" t="s">
        <v>25</v>
      </c>
      <c r="F97" s="18" t="s">
        <v>26</v>
      </c>
      <c r="G97" s="15">
        <v>95</v>
      </c>
      <c r="H97" s="20">
        <v>15000</v>
      </c>
      <c r="I97" s="21">
        <v>1425000</v>
      </c>
      <c r="J97" s="21">
        <v>11400</v>
      </c>
      <c r="K97" s="21">
        <v>342000</v>
      </c>
      <c r="L97" s="30">
        <f>MT1_[[#This Row],[Profit]]/MT1_[[#This Row],[Total Sales]]</f>
        <v>0.24</v>
      </c>
    </row>
    <row r="98" spans="1:12" ht="15.6" x14ac:dyDescent="0.3">
      <c r="A98" s="15">
        <v>1098</v>
      </c>
      <c r="B98" s="14">
        <v>45325</v>
      </c>
      <c r="C98" s="18" t="s">
        <v>20</v>
      </c>
      <c r="D98" s="18" t="s">
        <v>32</v>
      </c>
      <c r="E98" s="18" t="s">
        <v>25</v>
      </c>
      <c r="F98" s="18" t="s">
        <v>23</v>
      </c>
      <c r="G98" s="15">
        <v>26</v>
      </c>
      <c r="H98" s="20">
        <v>900</v>
      </c>
      <c r="I98" s="21">
        <v>23400</v>
      </c>
      <c r="J98" s="21">
        <v>657</v>
      </c>
      <c r="K98" s="21">
        <v>6318</v>
      </c>
      <c r="L98" s="30">
        <f>MT1_[[#This Row],[Profit]]/MT1_[[#This Row],[Total Sales]]</f>
        <v>0.27</v>
      </c>
    </row>
    <row r="99" spans="1:12" ht="15.6" x14ac:dyDescent="0.3">
      <c r="A99" s="15">
        <v>1099</v>
      </c>
      <c r="B99" s="14">
        <v>45361</v>
      </c>
      <c r="C99" s="18" t="s">
        <v>19</v>
      </c>
      <c r="D99" s="18" t="s">
        <v>33</v>
      </c>
      <c r="E99" s="18" t="s">
        <v>13</v>
      </c>
      <c r="F99" s="18" t="s">
        <v>27</v>
      </c>
      <c r="G99" s="15">
        <v>7</v>
      </c>
      <c r="H99" s="20">
        <v>30000</v>
      </c>
      <c r="I99" s="21">
        <v>210000</v>
      </c>
      <c r="J99" s="21">
        <v>21000</v>
      </c>
      <c r="K99" s="21">
        <v>63000</v>
      </c>
      <c r="L99" s="30">
        <f>MT1_[[#This Row],[Profit]]/MT1_[[#This Row],[Total Sales]]</f>
        <v>0.3</v>
      </c>
    </row>
    <row r="100" spans="1:12" ht="15.6" x14ac:dyDescent="0.3">
      <c r="A100" s="15">
        <v>1100</v>
      </c>
      <c r="B100" s="14">
        <v>45319</v>
      </c>
      <c r="C100" s="18" t="s">
        <v>21</v>
      </c>
      <c r="D100" s="18" t="s">
        <v>34</v>
      </c>
      <c r="E100" s="18" t="s">
        <v>28</v>
      </c>
      <c r="F100" s="18" t="s">
        <v>27</v>
      </c>
      <c r="G100" s="15">
        <v>14</v>
      </c>
      <c r="H100" s="20">
        <v>150</v>
      </c>
      <c r="I100" s="21">
        <v>2100</v>
      </c>
      <c r="J100" s="21">
        <v>114</v>
      </c>
      <c r="K100" s="21">
        <v>504</v>
      </c>
      <c r="L100" s="30">
        <f>MT1_[[#This Row],[Profit]]/MT1_[[#This Row],[Total Sales]]</f>
        <v>0.24</v>
      </c>
    </row>
    <row r="101" spans="1:12" ht="15.6" x14ac:dyDescent="0.3">
      <c r="A101" s="15">
        <v>1101</v>
      </c>
      <c r="B101" s="14">
        <v>45297</v>
      </c>
      <c r="C101" s="18" t="s">
        <v>11</v>
      </c>
      <c r="D101" s="18" t="s">
        <v>12</v>
      </c>
      <c r="E101" s="18" t="s">
        <v>17</v>
      </c>
      <c r="F101" s="18" t="s">
        <v>36</v>
      </c>
      <c r="G101" s="15">
        <v>32</v>
      </c>
      <c r="H101" s="20">
        <v>500</v>
      </c>
      <c r="I101" s="21">
        <v>16000</v>
      </c>
      <c r="J101" s="21">
        <v>365</v>
      </c>
      <c r="K101" s="21">
        <v>4320</v>
      </c>
      <c r="L101" s="30">
        <f>MT1_[[#This Row],[Profit]]/MT1_[[#This Row],[Total Sales]]</f>
        <v>0.27</v>
      </c>
    </row>
    <row r="102" spans="1:12" ht="15.6" x14ac:dyDescent="0.3">
      <c r="A102" s="15">
        <v>1102</v>
      </c>
      <c r="B102" s="14">
        <v>45327</v>
      </c>
      <c r="C102" s="18" t="s">
        <v>15</v>
      </c>
      <c r="D102" s="18" t="s">
        <v>34</v>
      </c>
      <c r="E102" s="18" t="s">
        <v>17</v>
      </c>
      <c r="F102" s="18" t="s">
        <v>26</v>
      </c>
      <c r="G102" s="15">
        <v>10</v>
      </c>
      <c r="H102" s="20">
        <v>500</v>
      </c>
      <c r="I102" s="21">
        <v>5000</v>
      </c>
      <c r="J102" s="21">
        <v>440</v>
      </c>
      <c r="K102" s="21">
        <v>600</v>
      </c>
      <c r="L102" s="30">
        <f>MT1_[[#This Row],[Profit]]/MT1_[[#This Row],[Total Sales]]</f>
        <v>0.12</v>
      </c>
    </row>
    <row r="103" spans="1:12" ht="15.6" x14ac:dyDescent="0.3">
      <c r="A103" s="15">
        <v>1103</v>
      </c>
      <c r="B103" s="14">
        <v>45372</v>
      </c>
      <c r="C103" s="18" t="s">
        <v>20</v>
      </c>
      <c r="D103" s="18" t="s">
        <v>34</v>
      </c>
      <c r="E103" s="18" t="s">
        <v>25</v>
      </c>
      <c r="F103" s="18" t="s">
        <v>24</v>
      </c>
      <c r="G103" s="15">
        <v>40</v>
      </c>
      <c r="H103" s="20">
        <v>15000</v>
      </c>
      <c r="I103" s="21">
        <v>600000</v>
      </c>
      <c r="J103" s="21">
        <v>11550</v>
      </c>
      <c r="K103" s="21">
        <v>138000</v>
      </c>
      <c r="L103" s="30">
        <f>MT1_[[#This Row],[Profit]]/MT1_[[#This Row],[Total Sales]]</f>
        <v>0.23</v>
      </c>
    </row>
    <row r="104" spans="1:12" ht="15.6" x14ac:dyDescent="0.3">
      <c r="A104" s="15">
        <v>1104</v>
      </c>
      <c r="B104" s="14">
        <v>45321</v>
      </c>
      <c r="C104" s="18" t="s">
        <v>21</v>
      </c>
      <c r="D104" s="18" t="s">
        <v>34</v>
      </c>
      <c r="E104" s="18" t="s">
        <v>25</v>
      </c>
      <c r="F104" s="18" t="s">
        <v>31</v>
      </c>
      <c r="G104" s="15">
        <v>54</v>
      </c>
      <c r="H104" s="20">
        <v>1200</v>
      </c>
      <c r="I104" s="21">
        <v>64800</v>
      </c>
      <c r="J104" s="21">
        <v>1080</v>
      </c>
      <c r="K104" s="21">
        <v>6480</v>
      </c>
      <c r="L104" s="30">
        <f>MT1_[[#This Row],[Profit]]/MT1_[[#This Row],[Total Sales]]</f>
        <v>0.1</v>
      </c>
    </row>
    <row r="105" spans="1:12" ht="15.6" x14ac:dyDescent="0.3">
      <c r="A105" s="15">
        <v>1105</v>
      </c>
      <c r="B105" s="14">
        <v>45358</v>
      </c>
      <c r="C105" s="18" t="s">
        <v>21</v>
      </c>
      <c r="D105" s="18" t="s">
        <v>34</v>
      </c>
      <c r="E105" s="18" t="s">
        <v>13</v>
      </c>
      <c r="F105" s="18" t="s">
        <v>36</v>
      </c>
      <c r="G105" s="15">
        <v>8</v>
      </c>
      <c r="H105" s="20">
        <v>50</v>
      </c>
      <c r="I105" s="21">
        <v>400</v>
      </c>
      <c r="J105" s="21">
        <v>35.5</v>
      </c>
      <c r="K105" s="21">
        <v>116</v>
      </c>
      <c r="L105" s="30">
        <f>MT1_[[#This Row],[Profit]]/MT1_[[#This Row],[Total Sales]]</f>
        <v>0.28999999999999998</v>
      </c>
    </row>
    <row r="106" spans="1:12" ht="15.6" x14ac:dyDescent="0.3">
      <c r="A106" s="15">
        <v>1106</v>
      </c>
      <c r="B106" s="14">
        <v>45336</v>
      </c>
      <c r="C106" s="18" t="s">
        <v>21</v>
      </c>
      <c r="D106" s="18" t="s">
        <v>32</v>
      </c>
      <c r="E106" s="18" t="s">
        <v>17</v>
      </c>
      <c r="F106" s="18" t="s">
        <v>36</v>
      </c>
      <c r="G106" s="15">
        <v>53</v>
      </c>
      <c r="H106" s="20">
        <v>300</v>
      </c>
      <c r="I106" s="21">
        <v>15900</v>
      </c>
      <c r="J106" s="21">
        <v>255</v>
      </c>
      <c r="K106" s="21">
        <v>2385</v>
      </c>
      <c r="L106" s="30">
        <f>MT1_[[#This Row],[Profit]]/MT1_[[#This Row],[Total Sales]]</f>
        <v>0.15</v>
      </c>
    </row>
    <row r="107" spans="1:12" ht="15.6" x14ac:dyDescent="0.3">
      <c r="A107" s="15">
        <v>1107</v>
      </c>
      <c r="B107" s="14">
        <v>45318</v>
      </c>
      <c r="C107" s="18" t="s">
        <v>11</v>
      </c>
      <c r="D107" s="18" t="s">
        <v>16</v>
      </c>
      <c r="E107" s="18" t="s">
        <v>25</v>
      </c>
      <c r="F107" s="18" t="s">
        <v>35</v>
      </c>
      <c r="G107" s="15">
        <v>32</v>
      </c>
      <c r="H107" s="20">
        <v>250</v>
      </c>
      <c r="I107" s="21">
        <v>8000</v>
      </c>
      <c r="J107" s="21">
        <v>195</v>
      </c>
      <c r="K107" s="21">
        <v>1760</v>
      </c>
      <c r="L107" s="30">
        <f>MT1_[[#This Row],[Profit]]/MT1_[[#This Row],[Total Sales]]</f>
        <v>0.22</v>
      </c>
    </row>
    <row r="108" spans="1:12" ht="15.6" x14ac:dyDescent="0.3">
      <c r="A108" s="15">
        <v>1108</v>
      </c>
      <c r="B108" s="14">
        <v>45297</v>
      </c>
      <c r="C108" s="18" t="s">
        <v>15</v>
      </c>
      <c r="D108" s="18" t="s">
        <v>32</v>
      </c>
      <c r="E108" s="18" t="s">
        <v>28</v>
      </c>
      <c r="F108" s="18" t="s">
        <v>35</v>
      </c>
      <c r="G108" s="15">
        <v>13</v>
      </c>
      <c r="H108" s="20">
        <v>50</v>
      </c>
      <c r="I108" s="21">
        <v>650</v>
      </c>
      <c r="J108" s="21">
        <v>37</v>
      </c>
      <c r="K108" s="21">
        <v>169</v>
      </c>
      <c r="L108" s="30">
        <f>MT1_[[#This Row],[Profit]]/MT1_[[#This Row],[Total Sales]]</f>
        <v>0.26</v>
      </c>
    </row>
    <row r="109" spans="1:12" ht="15.6" x14ac:dyDescent="0.3">
      <c r="A109" s="15">
        <v>1109</v>
      </c>
      <c r="B109" s="14">
        <v>45316</v>
      </c>
      <c r="C109" s="18" t="s">
        <v>11</v>
      </c>
      <c r="D109" s="18" t="s">
        <v>16</v>
      </c>
      <c r="E109" s="18" t="s">
        <v>13</v>
      </c>
      <c r="F109" s="18" t="s">
        <v>31</v>
      </c>
      <c r="G109" s="15">
        <v>51</v>
      </c>
      <c r="H109" s="20">
        <v>15000</v>
      </c>
      <c r="I109" s="21">
        <v>765000</v>
      </c>
      <c r="J109" s="21">
        <v>11550</v>
      </c>
      <c r="K109" s="21">
        <v>175950</v>
      </c>
      <c r="L109" s="30">
        <f>MT1_[[#This Row],[Profit]]/MT1_[[#This Row],[Total Sales]]</f>
        <v>0.23</v>
      </c>
    </row>
    <row r="110" spans="1:12" ht="15.6" x14ac:dyDescent="0.3">
      <c r="A110" s="15">
        <v>1110</v>
      </c>
      <c r="B110" s="14">
        <v>45317</v>
      </c>
      <c r="C110" s="18" t="s">
        <v>20</v>
      </c>
      <c r="D110" s="18" t="s">
        <v>16</v>
      </c>
      <c r="E110" s="18" t="s">
        <v>28</v>
      </c>
      <c r="F110" s="18" t="s">
        <v>23</v>
      </c>
      <c r="G110" s="15">
        <v>35</v>
      </c>
      <c r="H110" s="20">
        <v>700</v>
      </c>
      <c r="I110" s="21">
        <v>24500</v>
      </c>
      <c r="J110" s="21">
        <v>609</v>
      </c>
      <c r="K110" s="21">
        <v>3185</v>
      </c>
      <c r="L110" s="30">
        <f>MT1_[[#This Row],[Profit]]/MT1_[[#This Row],[Total Sales]]</f>
        <v>0.13</v>
      </c>
    </row>
    <row r="111" spans="1:12" ht="15.6" x14ac:dyDescent="0.3">
      <c r="A111" s="15">
        <v>1111</v>
      </c>
      <c r="B111" s="14">
        <v>45330</v>
      </c>
      <c r="C111" s="18" t="s">
        <v>21</v>
      </c>
      <c r="D111" s="18" t="s">
        <v>34</v>
      </c>
      <c r="E111" s="18" t="s">
        <v>17</v>
      </c>
      <c r="F111" s="18" t="s">
        <v>26</v>
      </c>
      <c r="G111" s="15">
        <v>22</v>
      </c>
      <c r="H111" s="20">
        <v>700</v>
      </c>
      <c r="I111" s="21">
        <v>15400</v>
      </c>
      <c r="J111" s="21">
        <v>623</v>
      </c>
      <c r="K111" s="21">
        <v>1694</v>
      </c>
      <c r="L111" s="30">
        <f>MT1_[[#This Row],[Profit]]/MT1_[[#This Row],[Total Sales]]</f>
        <v>0.11</v>
      </c>
    </row>
    <row r="112" spans="1:12" ht="15.6" x14ac:dyDescent="0.3">
      <c r="A112" s="15">
        <v>1112</v>
      </c>
      <c r="B112" s="14">
        <v>45361</v>
      </c>
      <c r="C112" s="18" t="s">
        <v>11</v>
      </c>
      <c r="D112" s="18" t="s">
        <v>12</v>
      </c>
      <c r="E112" s="18" t="s">
        <v>25</v>
      </c>
      <c r="F112" s="18" t="s">
        <v>14</v>
      </c>
      <c r="G112" s="15">
        <v>71</v>
      </c>
      <c r="H112" s="20">
        <v>150</v>
      </c>
      <c r="I112" s="21">
        <v>10650</v>
      </c>
      <c r="J112" s="21">
        <v>130.5</v>
      </c>
      <c r="K112" s="21">
        <v>1384.5</v>
      </c>
      <c r="L112" s="30">
        <f>MT1_[[#This Row],[Profit]]/MT1_[[#This Row],[Total Sales]]</f>
        <v>0.13</v>
      </c>
    </row>
    <row r="113" spans="1:12" ht="15.6" x14ac:dyDescent="0.3">
      <c r="A113" s="15">
        <v>1113</v>
      </c>
      <c r="B113" s="14">
        <v>45377</v>
      </c>
      <c r="C113" s="18" t="s">
        <v>21</v>
      </c>
      <c r="D113" s="18" t="s">
        <v>16</v>
      </c>
      <c r="E113" s="18" t="s">
        <v>30</v>
      </c>
      <c r="F113" s="18" t="s">
        <v>27</v>
      </c>
      <c r="G113" s="15">
        <v>85</v>
      </c>
      <c r="H113" s="20">
        <v>15000</v>
      </c>
      <c r="I113" s="21">
        <v>1275000</v>
      </c>
      <c r="J113" s="21">
        <v>13050</v>
      </c>
      <c r="K113" s="21">
        <v>165750</v>
      </c>
      <c r="L113" s="30">
        <f>MT1_[[#This Row],[Profit]]/MT1_[[#This Row],[Total Sales]]</f>
        <v>0.13</v>
      </c>
    </row>
    <row r="114" spans="1:12" ht="15.6" x14ac:dyDescent="0.3">
      <c r="A114" s="15">
        <v>1114</v>
      </c>
      <c r="B114" s="14">
        <v>45361</v>
      </c>
      <c r="C114" s="18" t="s">
        <v>20</v>
      </c>
      <c r="D114" s="18" t="s">
        <v>16</v>
      </c>
      <c r="E114" s="18" t="s">
        <v>30</v>
      </c>
      <c r="F114" s="18" t="s">
        <v>36</v>
      </c>
      <c r="G114" s="15">
        <v>11</v>
      </c>
      <c r="H114" s="20">
        <v>50</v>
      </c>
      <c r="I114" s="21">
        <v>550</v>
      </c>
      <c r="J114" s="21">
        <v>44.5</v>
      </c>
      <c r="K114" s="21">
        <v>60.5</v>
      </c>
      <c r="L114" s="30">
        <f>MT1_[[#This Row],[Profit]]/MT1_[[#This Row],[Total Sales]]</f>
        <v>0.11</v>
      </c>
    </row>
    <row r="115" spans="1:12" ht="15.6" x14ac:dyDescent="0.3">
      <c r="A115" s="15">
        <v>1115</v>
      </c>
      <c r="B115" s="14">
        <v>45367</v>
      </c>
      <c r="C115" s="18" t="s">
        <v>21</v>
      </c>
      <c r="D115" s="18" t="s">
        <v>32</v>
      </c>
      <c r="E115" s="18" t="s">
        <v>13</v>
      </c>
      <c r="F115" s="18" t="s">
        <v>36</v>
      </c>
      <c r="G115" s="15">
        <v>57</v>
      </c>
      <c r="H115" s="20">
        <v>150</v>
      </c>
      <c r="I115" s="21">
        <v>8550</v>
      </c>
      <c r="J115" s="21">
        <v>120</v>
      </c>
      <c r="K115" s="21">
        <v>1710</v>
      </c>
      <c r="L115" s="30">
        <f>MT1_[[#This Row],[Profit]]/MT1_[[#This Row],[Total Sales]]</f>
        <v>0.2</v>
      </c>
    </row>
    <row r="116" spans="1:12" ht="15.6" x14ac:dyDescent="0.3">
      <c r="A116" s="15">
        <v>1116</v>
      </c>
      <c r="B116" s="14">
        <v>45322</v>
      </c>
      <c r="C116" s="18" t="s">
        <v>20</v>
      </c>
      <c r="D116" s="18" t="s">
        <v>33</v>
      </c>
      <c r="E116" s="18" t="s">
        <v>25</v>
      </c>
      <c r="F116" s="18" t="s">
        <v>27</v>
      </c>
      <c r="G116" s="15">
        <v>63</v>
      </c>
      <c r="H116" s="20">
        <v>15000</v>
      </c>
      <c r="I116" s="21">
        <v>945000</v>
      </c>
      <c r="J116" s="21">
        <v>12450</v>
      </c>
      <c r="K116" s="21">
        <v>160650</v>
      </c>
      <c r="L116" s="30">
        <f>MT1_[[#This Row],[Profit]]/MT1_[[#This Row],[Total Sales]]</f>
        <v>0.17</v>
      </c>
    </row>
    <row r="117" spans="1:12" ht="15.6" x14ac:dyDescent="0.3">
      <c r="A117" s="15">
        <v>1117</v>
      </c>
      <c r="B117" s="14">
        <v>45346</v>
      </c>
      <c r="C117" s="18" t="s">
        <v>21</v>
      </c>
      <c r="D117" s="18" t="s">
        <v>16</v>
      </c>
      <c r="E117" s="18" t="s">
        <v>30</v>
      </c>
      <c r="F117" s="18" t="s">
        <v>29</v>
      </c>
      <c r="G117" s="15">
        <v>32</v>
      </c>
      <c r="H117" s="20">
        <v>500</v>
      </c>
      <c r="I117" s="21">
        <v>16000</v>
      </c>
      <c r="J117" s="21">
        <v>405</v>
      </c>
      <c r="K117" s="21">
        <v>3040</v>
      </c>
      <c r="L117" s="30">
        <f>MT1_[[#This Row],[Profit]]/MT1_[[#This Row],[Total Sales]]</f>
        <v>0.19</v>
      </c>
    </row>
    <row r="118" spans="1:12" ht="15.6" x14ac:dyDescent="0.3">
      <c r="A118" s="15">
        <v>1118</v>
      </c>
      <c r="B118" s="14">
        <v>45299</v>
      </c>
      <c r="C118" s="18" t="s">
        <v>11</v>
      </c>
      <c r="D118" s="18" t="s">
        <v>12</v>
      </c>
      <c r="E118" s="18" t="s">
        <v>17</v>
      </c>
      <c r="F118" s="18" t="s">
        <v>26</v>
      </c>
      <c r="G118" s="15">
        <v>45</v>
      </c>
      <c r="H118" s="20">
        <v>250</v>
      </c>
      <c r="I118" s="21">
        <v>11250</v>
      </c>
      <c r="J118" s="21">
        <v>182.5</v>
      </c>
      <c r="K118" s="21">
        <v>3037.5</v>
      </c>
      <c r="L118" s="30">
        <f>MT1_[[#This Row],[Profit]]/MT1_[[#This Row],[Total Sales]]</f>
        <v>0.27</v>
      </c>
    </row>
    <row r="119" spans="1:12" ht="15.6" x14ac:dyDescent="0.3">
      <c r="A119" s="15">
        <v>1119</v>
      </c>
      <c r="B119" s="14">
        <v>45343</v>
      </c>
      <c r="C119" s="18" t="s">
        <v>19</v>
      </c>
      <c r="D119" s="18" t="s">
        <v>33</v>
      </c>
      <c r="E119" s="18" t="s">
        <v>28</v>
      </c>
      <c r="F119" s="18" t="s">
        <v>31</v>
      </c>
      <c r="G119" s="15">
        <v>90</v>
      </c>
      <c r="H119" s="20">
        <v>30000</v>
      </c>
      <c r="I119" s="21">
        <v>2700000</v>
      </c>
      <c r="J119" s="21">
        <v>26100</v>
      </c>
      <c r="K119" s="21">
        <v>351000</v>
      </c>
      <c r="L119" s="30">
        <f>MT1_[[#This Row],[Profit]]/MT1_[[#This Row],[Total Sales]]</f>
        <v>0.13</v>
      </c>
    </row>
    <row r="120" spans="1:12" ht="15.6" x14ac:dyDescent="0.3">
      <c r="A120" s="15">
        <v>1120</v>
      </c>
      <c r="B120" s="14">
        <v>45325</v>
      </c>
      <c r="C120" s="18" t="s">
        <v>20</v>
      </c>
      <c r="D120" s="18" t="s">
        <v>32</v>
      </c>
      <c r="E120" s="18" t="s">
        <v>17</v>
      </c>
      <c r="F120" s="18" t="s">
        <v>35</v>
      </c>
      <c r="G120" s="15">
        <v>68</v>
      </c>
      <c r="H120" s="20">
        <v>50</v>
      </c>
      <c r="I120" s="21">
        <v>3400</v>
      </c>
      <c r="J120" s="21">
        <v>36.5</v>
      </c>
      <c r="K120" s="21">
        <v>918</v>
      </c>
      <c r="L120" s="30">
        <f>MT1_[[#This Row],[Profit]]/MT1_[[#This Row],[Total Sales]]</f>
        <v>0.27</v>
      </c>
    </row>
    <row r="121" spans="1:12" ht="15.6" x14ac:dyDescent="0.3">
      <c r="A121" s="15">
        <v>1121</v>
      </c>
      <c r="B121" s="14">
        <v>45303</v>
      </c>
      <c r="C121" s="18" t="s">
        <v>20</v>
      </c>
      <c r="D121" s="18" t="s">
        <v>16</v>
      </c>
      <c r="E121" s="18" t="s">
        <v>30</v>
      </c>
      <c r="F121" s="18" t="s">
        <v>36</v>
      </c>
      <c r="G121" s="15">
        <v>58</v>
      </c>
      <c r="H121" s="20">
        <v>15000</v>
      </c>
      <c r="I121" s="21">
        <v>870000</v>
      </c>
      <c r="J121" s="21">
        <v>12000</v>
      </c>
      <c r="K121" s="21">
        <v>174000</v>
      </c>
      <c r="L121" s="30">
        <f>MT1_[[#This Row],[Profit]]/MT1_[[#This Row],[Total Sales]]</f>
        <v>0.2</v>
      </c>
    </row>
    <row r="122" spans="1:12" ht="15.6" x14ac:dyDescent="0.3">
      <c r="A122" s="15">
        <v>1122</v>
      </c>
      <c r="B122" s="14">
        <v>45308</v>
      </c>
      <c r="C122" s="18" t="s">
        <v>15</v>
      </c>
      <c r="D122" s="18" t="s">
        <v>33</v>
      </c>
      <c r="E122" s="18" t="s">
        <v>30</v>
      </c>
      <c r="F122" s="18" t="s">
        <v>26</v>
      </c>
      <c r="G122" s="15">
        <v>48</v>
      </c>
      <c r="H122" s="20">
        <v>150</v>
      </c>
      <c r="I122" s="21">
        <v>7200</v>
      </c>
      <c r="J122" s="21">
        <v>133.5</v>
      </c>
      <c r="K122" s="21">
        <v>792</v>
      </c>
      <c r="L122" s="30">
        <f>MT1_[[#This Row],[Profit]]/MT1_[[#This Row],[Total Sales]]</f>
        <v>0.11</v>
      </c>
    </row>
    <row r="123" spans="1:12" ht="15.6" x14ac:dyDescent="0.3">
      <c r="A123" s="15">
        <v>1123</v>
      </c>
      <c r="B123" s="14">
        <v>45309</v>
      </c>
      <c r="C123" s="18" t="s">
        <v>15</v>
      </c>
      <c r="D123" s="18" t="s">
        <v>12</v>
      </c>
      <c r="E123" s="18" t="s">
        <v>30</v>
      </c>
      <c r="F123" s="18" t="s">
        <v>26</v>
      </c>
      <c r="G123" s="15">
        <v>47</v>
      </c>
      <c r="H123" s="20">
        <v>30000</v>
      </c>
      <c r="I123" s="21">
        <v>1410000</v>
      </c>
      <c r="J123" s="21">
        <v>26700</v>
      </c>
      <c r="K123" s="21">
        <v>155100</v>
      </c>
      <c r="L123" s="30">
        <f>MT1_[[#This Row],[Profit]]/MT1_[[#This Row],[Total Sales]]</f>
        <v>0.11</v>
      </c>
    </row>
    <row r="124" spans="1:12" ht="15.6" x14ac:dyDescent="0.3">
      <c r="A124" s="15">
        <v>1124</v>
      </c>
      <c r="B124" s="14">
        <v>45301</v>
      </c>
      <c r="C124" s="18" t="s">
        <v>20</v>
      </c>
      <c r="D124" s="18" t="s">
        <v>12</v>
      </c>
      <c r="E124" s="18" t="s">
        <v>13</v>
      </c>
      <c r="F124" s="18" t="s">
        <v>23</v>
      </c>
      <c r="G124" s="15">
        <v>17</v>
      </c>
      <c r="H124" s="20">
        <v>15000</v>
      </c>
      <c r="I124" s="21">
        <v>255000</v>
      </c>
      <c r="J124" s="21">
        <v>10500</v>
      </c>
      <c r="K124" s="21">
        <v>76500</v>
      </c>
      <c r="L124" s="30">
        <f>MT1_[[#This Row],[Profit]]/MT1_[[#This Row],[Total Sales]]</f>
        <v>0.3</v>
      </c>
    </row>
    <row r="125" spans="1:12" ht="15.6" x14ac:dyDescent="0.3">
      <c r="A125" s="15">
        <v>1125</v>
      </c>
      <c r="B125" s="14">
        <v>45335</v>
      </c>
      <c r="C125" s="18" t="s">
        <v>15</v>
      </c>
      <c r="D125" s="18" t="s">
        <v>16</v>
      </c>
      <c r="E125" s="18" t="s">
        <v>25</v>
      </c>
      <c r="F125" s="18" t="s">
        <v>35</v>
      </c>
      <c r="G125" s="15">
        <v>73</v>
      </c>
      <c r="H125" s="20">
        <v>1200</v>
      </c>
      <c r="I125" s="21">
        <v>87600</v>
      </c>
      <c r="J125" s="21">
        <v>1068</v>
      </c>
      <c r="K125" s="21">
        <v>9636</v>
      </c>
      <c r="L125" s="30">
        <f>MT1_[[#This Row],[Profit]]/MT1_[[#This Row],[Total Sales]]</f>
        <v>0.11</v>
      </c>
    </row>
    <row r="126" spans="1:12" ht="15.6" x14ac:dyDescent="0.3">
      <c r="A126" s="15">
        <v>1126</v>
      </c>
      <c r="B126" s="14">
        <v>45364</v>
      </c>
      <c r="C126" s="18" t="s">
        <v>21</v>
      </c>
      <c r="D126" s="18" t="s">
        <v>33</v>
      </c>
      <c r="E126" s="18" t="s">
        <v>13</v>
      </c>
      <c r="F126" s="18" t="s">
        <v>14</v>
      </c>
      <c r="G126" s="15">
        <v>40</v>
      </c>
      <c r="H126" s="20">
        <v>150</v>
      </c>
      <c r="I126" s="21">
        <v>6000</v>
      </c>
      <c r="J126" s="21">
        <v>109.5</v>
      </c>
      <c r="K126" s="21">
        <v>1620</v>
      </c>
      <c r="L126" s="30">
        <f>MT1_[[#This Row],[Profit]]/MT1_[[#This Row],[Total Sales]]</f>
        <v>0.27</v>
      </c>
    </row>
    <row r="127" spans="1:12" ht="15.6" x14ac:dyDescent="0.3">
      <c r="A127" s="15">
        <v>1127</v>
      </c>
      <c r="B127" s="14">
        <v>45329</v>
      </c>
      <c r="C127" s="18" t="s">
        <v>20</v>
      </c>
      <c r="D127" s="18" t="s">
        <v>16</v>
      </c>
      <c r="E127" s="18" t="s">
        <v>28</v>
      </c>
      <c r="F127" s="18" t="s">
        <v>26</v>
      </c>
      <c r="G127" s="15">
        <v>25</v>
      </c>
      <c r="H127" s="20">
        <v>900</v>
      </c>
      <c r="I127" s="21">
        <v>22500</v>
      </c>
      <c r="J127" s="21">
        <v>729</v>
      </c>
      <c r="K127" s="21">
        <v>4275</v>
      </c>
      <c r="L127" s="30">
        <f>MT1_[[#This Row],[Profit]]/MT1_[[#This Row],[Total Sales]]</f>
        <v>0.19</v>
      </c>
    </row>
    <row r="128" spans="1:12" ht="15.6" x14ac:dyDescent="0.3">
      <c r="A128" s="15">
        <v>1128</v>
      </c>
      <c r="B128" s="14">
        <v>45304</v>
      </c>
      <c r="C128" s="18" t="s">
        <v>11</v>
      </c>
      <c r="D128" s="18" t="s">
        <v>32</v>
      </c>
      <c r="E128" s="18" t="s">
        <v>30</v>
      </c>
      <c r="F128" s="18" t="s">
        <v>18</v>
      </c>
      <c r="G128" s="15">
        <v>8</v>
      </c>
      <c r="H128" s="20">
        <v>50</v>
      </c>
      <c r="I128" s="21">
        <v>400</v>
      </c>
      <c r="J128" s="21">
        <v>43.5</v>
      </c>
      <c r="K128" s="21">
        <v>52</v>
      </c>
      <c r="L128" s="30">
        <f>MT1_[[#This Row],[Profit]]/MT1_[[#This Row],[Total Sales]]</f>
        <v>0.13</v>
      </c>
    </row>
    <row r="129" spans="1:12" ht="15.6" x14ac:dyDescent="0.3">
      <c r="A129" s="15">
        <v>1129</v>
      </c>
      <c r="B129" s="14">
        <v>45334</v>
      </c>
      <c r="C129" s="18" t="s">
        <v>19</v>
      </c>
      <c r="D129" s="18" t="s">
        <v>32</v>
      </c>
      <c r="E129" s="18" t="s">
        <v>25</v>
      </c>
      <c r="F129" s="18" t="s">
        <v>31</v>
      </c>
      <c r="G129" s="15">
        <v>5</v>
      </c>
      <c r="H129" s="20">
        <v>1200</v>
      </c>
      <c r="I129" s="21">
        <v>6000</v>
      </c>
      <c r="J129" s="21">
        <v>996</v>
      </c>
      <c r="K129" s="21">
        <v>1020</v>
      </c>
      <c r="L129" s="30">
        <f>MT1_[[#This Row],[Profit]]/MT1_[[#This Row],[Total Sales]]</f>
        <v>0.17</v>
      </c>
    </row>
    <row r="130" spans="1:12" ht="15.6" x14ac:dyDescent="0.3">
      <c r="A130" s="15">
        <v>1130</v>
      </c>
      <c r="B130" s="14">
        <v>45342</v>
      </c>
      <c r="C130" s="18" t="s">
        <v>11</v>
      </c>
      <c r="D130" s="18" t="s">
        <v>32</v>
      </c>
      <c r="E130" s="18" t="s">
        <v>17</v>
      </c>
      <c r="F130" s="18" t="s">
        <v>31</v>
      </c>
      <c r="G130" s="15">
        <v>11</v>
      </c>
      <c r="H130" s="20">
        <v>300</v>
      </c>
      <c r="I130" s="21">
        <v>3300</v>
      </c>
      <c r="J130" s="21">
        <v>258</v>
      </c>
      <c r="K130" s="21">
        <v>462</v>
      </c>
      <c r="L130" s="30">
        <f>MT1_[[#This Row],[Profit]]/MT1_[[#This Row],[Total Sales]]</f>
        <v>0.14000000000000001</v>
      </c>
    </row>
    <row r="131" spans="1:12" ht="15.6" x14ac:dyDescent="0.3">
      <c r="A131" s="15">
        <v>1131</v>
      </c>
      <c r="B131" s="14">
        <v>45307</v>
      </c>
      <c r="C131" s="18" t="s">
        <v>11</v>
      </c>
      <c r="D131" s="18" t="s">
        <v>33</v>
      </c>
      <c r="E131" s="18" t="s">
        <v>17</v>
      </c>
      <c r="F131" s="18" t="s">
        <v>35</v>
      </c>
      <c r="G131" s="15">
        <v>19</v>
      </c>
      <c r="H131" s="20">
        <v>15000</v>
      </c>
      <c r="I131" s="21">
        <v>285000</v>
      </c>
      <c r="J131" s="21">
        <v>12600</v>
      </c>
      <c r="K131" s="21">
        <v>45600</v>
      </c>
      <c r="L131" s="30">
        <f>MT1_[[#This Row],[Profit]]/MT1_[[#This Row],[Total Sales]]</f>
        <v>0.16</v>
      </c>
    </row>
    <row r="132" spans="1:12" ht="15.6" x14ac:dyDescent="0.3">
      <c r="A132" s="15">
        <v>1132</v>
      </c>
      <c r="B132" s="14">
        <v>45292</v>
      </c>
      <c r="C132" s="18" t="s">
        <v>15</v>
      </c>
      <c r="D132" s="18" t="s">
        <v>32</v>
      </c>
      <c r="E132" s="18" t="s">
        <v>17</v>
      </c>
      <c r="F132" s="18" t="s">
        <v>29</v>
      </c>
      <c r="G132" s="15">
        <v>68</v>
      </c>
      <c r="H132" s="20">
        <v>1200</v>
      </c>
      <c r="I132" s="21">
        <v>81600</v>
      </c>
      <c r="J132" s="21">
        <v>864</v>
      </c>
      <c r="K132" s="21">
        <v>22848</v>
      </c>
      <c r="L132" s="30">
        <f>MT1_[[#This Row],[Profit]]/MT1_[[#This Row],[Total Sales]]</f>
        <v>0.28000000000000003</v>
      </c>
    </row>
    <row r="133" spans="1:12" ht="15.6" x14ac:dyDescent="0.3">
      <c r="A133" s="15">
        <v>1133</v>
      </c>
      <c r="B133" s="14">
        <v>45369</v>
      </c>
      <c r="C133" s="18" t="s">
        <v>21</v>
      </c>
      <c r="D133" s="18" t="s">
        <v>34</v>
      </c>
      <c r="E133" s="18" t="s">
        <v>13</v>
      </c>
      <c r="F133" s="18" t="s">
        <v>36</v>
      </c>
      <c r="G133" s="15">
        <v>23</v>
      </c>
      <c r="H133" s="20">
        <v>300</v>
      </c>
      <c r="I133" s="21">
        <v>6900</v>
      </c>
      <c r="J133" s="21">
        <v>270</v>
      </c>
      <c r="K133" s="21">
        <v>690</v>
      </c>
      <c r="L133" s="30">
        <f>MT1_[[#This Row],[Profit]]/MT1_[[#This Row],[Total Sales]]</f>
        <v>0.1</v>
      </c>
    </row>
    <row r="134" spans="1:12" ht="15.6" x14ac:dyDescent="0.3">
      <c r="A134" s="15">
        <v>1134</v>
      </c>
      <c r="B134" s="14">
        <v>45342</v>
      </c>
      <c r="C134" s="18" t="s">
        <v>11</v>
      </c>
      <c r="D134" s="18" t="s">
        <v>12</v>
      </c>
      <c r="E134" s="18" t="s">
        <v>17</v>
      </c>
      <c r="F134" s="18" t="s">
        <v>14</v>
      </c>
      <c r="G134" s="15">
        <v>2</v>
      </c>
      <c r="H134" s="20">
        <v>30000</v>
      </c>
      <c r="I134" s="21">
        <v>60000</v>
      </c>
      <c r="J134" s="21">
        <v>24600</v>
      </c>
      <c r="K134" s="21">
        <v>10800</v>
      </c>
      <c r="L134" s="30">
        <f>MT1_[[#This Row],[Profit]]/MT1_[[#This Row],[Total Sales]]</f>
        <v>0.18</v>
      </c>
    </row>
    <row r="135" spans="1:12" ht="15.6" x14ac:dyDescent="0.3">
      <c r="A135" s="15">
        <v>1135</v>
      </c>
      <c r="B135" s="14">
        <v>45324</v>
      </c>
      <c r="C135" s="18" t="s">
        <v>15</v>
      </c>
      <c r="D135" s="18" t="s">
        <v>16</v>
      </c>
      <c r="E135" s="18" t="s">
        <v>13</v>
      </c>
      <c r="F135" s="18" t="s">
        <v>35</v>
      </c>
      <c r="G135" s="15">
        <v>80</v>
      </c>
      <c r="H135" s="20">
        <v>250</v>
      </c>
      <c r="I135" s="21">
        <v>20000</v>
      </c>
      <c r="J135" s="21">
        <v>187.5</v>
      </c>
      <c r="K135" s="21">
        <v>5000</v>
      </c>
      <c r="L135" s="30">
        <f>MT1_[[#This Row],[Profit]]/MT1_[[#This Row],[Total Sales]]</f>
        <v>0.25</v>
      </c>
    </row>
    <row r="136" spans="1:12" ht="15.6" x14ac:dyDescent="0.3">
      <c r="A136" s="15">
        <v>1136</v>
      </c>
      <c r="B136" s="14">
        <v>45337</v>
      </c>
      <c r="C136" s="18" t="s">
        <v>19</v>
      </c>
      <c r="D136" s="18" t="s">
        <v>32</v>
      </c>
      <c r="E136" s="18" t="s">
        <v>30</v>
      </c>
      <c r="F136" s="18" t="s">
        <v>31</v>
      </c>
      <c r="G136" s="15">
        <v>32</v>
      </c>
      <c r="H136" s="20">
        <v>15000</v>
      </c>
      <c r="I136" s="21">
        <v>480000</v>
      </c>
      <c r="J136" s="21">
        <v>12750</v>
      </c>
      <c r="K136" s="21">
        <v>72000</v>
      </c>
      <c r="L136" s="30">
        <f>MT1_[[#This Row],[Profit]]/MT1_[[#This Row],[Total Sales]]</f>
        <v>0.15</v>
      </c>
    </row>
    <row r="137" spans="1:12" ht="15.6" x14ac:dyDescent="0.3">
      <c r="A137" s="15">
        <v>1137</v>
      </c>
      <c r="B137" s="14">
        <v>45312</v>
      </c>
      <c r="C137" s="18" t="s">
        <v>20</v>
      </c>
      <c r="D137" s="18" t="s">
        <v>32</v>
      </c>
      <c r="E137" s="18" t="s">
        <v>28</v>
      </c>
      <c r="F137" s="18" t="s">
        <v>29</v>
      </c>
      <c r="G137" s="15">
        <v>59</v>
      </c>
      <c r="H137" s="20">
        <v>300</v>
      </c>
      <c r="I137" s="21">
        <v>17700</v>
      </c>
      <c r="J137" s="21">
        <v>228</v>
      </c>
      <c r="K137" s="21">
        <v>4248</v>
      </c>
      <c r="L137" s="30">
        <f>MT1_[[#This Row],[Profit]]/MT1_[[#This Row],[Total Sales]]</f>
        <v>0.24</v>
      </c>
    </row>
    <row r="138" spans="1:12" ht="15.6" x14ac:dyDescent="0.3">
      <c r="A138" s="15">
        <v>1138</v>
      </c>
      <c r="B138" s="14">
        <v>45334</v>
      </c>
      <c r="C138" s="18" t="s">
        <v>19</v>
      </c>
      <c r="D138" s="18" t="s">
        <v>33</v>
      </c>
      <c r="E138" s="18" t="s">
        <v>13</v>
      </c>
      <c r="F138" s="18" t="s">
        <v>35</v>
      </c>
      <c r="G138" s="15">
        <v>46</v>
      </c>
      <c r="H138" s="20">
        <v>300</v>
      </c>
      <c r="I138" s="21">
        <v>13800</v>
      </c>
      <c r="J138" s="21">
        <v>219</v>
      </c>
      <c r="K138" s="21">
        <v>3726</v>
      </c>
      <c r="L138" s="30">
        <f>MT1_[[#This Row],[Profit]]/MT1_[[#This Row],[Total Sales]]</f>
        <v>0.27</v>
      </c>
    </row>
    <row r="139" spans="1:12" ht="15.6" x14ac:dyDescent="0.3">
      <c r="A139" s="15">
        <v>1139</v>
      </c>
      <c r="B139" s="14">
        <v>45321</v>
      </c>
      <c r="C139" s="18" t="s">
        <v>20</v>
      </c>
      <c r="D139" s="18" t="s">
        <v>34</v>
      </c>
      <c r="E139" s="18" t="s">
        <v>13</v>
      </c>
      <c r="F139" s="18" t="s">
        <v>26</v>
      </c>
      <c r="G139" s="15">
        <v>42</v>
      </c>
      <c r="H139" s="20">
        <v>50</v>
      </c>
      <c r="I139" s="21">
        <v>2100</v>
      </c>
      <c r="J139" s="21">
        <v>43</v>
      </c>
      <c r="K139" s="21">
        <v>294</v>
      </c>
      <c r="L139" s="30">
        <f>MT1_[[#This Row],[Profit]]/MT1_[[#This Row],[Total Sales]]</f>
        <v>0.14000000000000001</v>
      </c>
    </row>
    <row r="140" spans="1:12" ht="15.6" x14ac:dyDescent="0.3">
      <c r="A140" s="15">
        <v>1140</v>
      </c>
      <c r="B140" s="14">
        <v>45303</v>
      </c>
      <c r="C140" s="18" t="s">
        <v>11</v>
      </c>
      <c r="D140" s="18" t="s">
        <v>32</v>
      </c>
      <c r="E140" s="18" t="s">
        <v>30</v>
      </c>
      <c r="F140" s="18" t="s">
        <v>23</v>
      </c>
      <c r="G140" s="15">
        <v>1</v>
      </c>
      <c r="H140" s="20">
        <v>700</v>
      </c>
      <c r="I140" s="21">
        <v>700</v>
      </c>
      <c r="J140" s="21">
        <v>595</v>
      </c>
      <c r="K140" s="21">
        <v>105</v>
      </c>
      <c r="L140" s="30">
        <f>MT1_[[#This Row],[Profit]]/MT1_[[#This Row],[Total Sales]]</f>
        <v>0.15</v>
      </c>
    </row>
    <row r="141" spans="1:12" ht="15.6" x14ac:dyDescent="0.3">
      <c r="A141" s="15">
        <v>1141</v>
      </c>
      <c r="B141" s="14">
        <v>45359</v>
      </c>
      <c r="C141" s="18" t="s">
        <v>15</v>
      </c>
      <c r="D141" s="18" t="s">
        <v>33</v>
      </c>
      <c r="E141" s="18" t="s">
        <v>25</v>
      </c>
      <c r="F141" s="18" t="s">
        <v>27</v>
      </c>
      <c r="G141" s="15">
        <v>21</v>
      </c>
      <c r="H141" s="20">
        <v>300</v>
      </c>
      <c r="I141" s="21">
        <v>6300</v>
      </c>
      <c r="J141" s="21">
        <v>234</v>
      </c>
      <c r="K141" s="21">
        <v>1386</v>
      </c>
      <c r="L141" s="30">
        <f>MT1_[[#This Row],[Profit]]/MT1_[[#This Row],[Total Sales]]</f>
        <v>0.22</v>
      </c>
    </row>
    <row r="142" spans="1:12" ht="15.6" x14ac:dyDescent="0.3">
      <c r="A142" s="15">
        <v>1142</v>
      </c>
      <c r="B142" s="14">
        <v>45333</v>
      </c>
      <c r="C142" s="18" t="s">
        <v>20</v>
      </c>
      <c r="D142" s="18" t="s">
        <v>12</v>
      </c>
      <c r="E142" s="18" t="s">
        <v>30</v>
      </c>
      <c r="F142" s="18" t="s">
        <v>29</v>
      </c>
      <c r="G142" s="15">
        <v>61</v>
      </c>
      <c r="H142" s="20">
        <v>300</v>
      </c>
      <c r="I142" s="21">
        <v>18300</v>
      </c>
      <c r="J142" s="21">
        <v>252</v>
      </c>
      <c r="K142" s="21">
        <v>2928</v>
      </c>
      <c r="L142" s="30">
        <f>MT1_[[#This Row],[Profit]]/MT1_[[#This Row],[Total Sales]]</f>
        <v>0.16</v>
      </c>
    </row>
    <row r="143" spans="1:12" ht="15.6" x14ac:dyDescent="0.3">
      <c r="A143" s="15">
        <v>1143</v>
      </c>
      <c r="B143" s="14">
        <v>45310</v>
      </c>
      <c r="C143" s="18" t="s">
        <v>11</v>
      </c>
      <c r="D143" s="18" t="s">
        <v>16</v>
      </c>
      <c r="E143" s="18" t="s">
        <v>13</v>
      </c>
      <c r="F143" s="18" t="s">
        <v>36</v>
      </c>
      <c r="G143" s="15">
        <v>47</v>
      </c>
      <c r="H143" s="20">
        <v>15000</v>
      </c>
      <c r="I143" s="21">
        <v>705000</v>
      </c>
      <c r="J143" s="21">
        <v>11100</v>
      </c>
      <c r="K143" s="21">
        <v>183300</v>
      </c>
      <c r="L143" s="30">
        <f>MT1_[[#This Row],[Profit]]/MT1_[[#This Row],[Total Sales]]</f>
        <v>0.26</v>
      </c>
    </row>
    <row r="144" spans="1:12" ht="15.6" x14ac:dyDescent="0.3">
      <c r="A144" s="15">
        <v>1144</v>
      </c>
      <c r="B144" s="14">
        <v>45357</v>
      </c>
      <c r="C144" s="18" t="s">
        <v>20</v>
      </c>
      <c r="D144" s="18" t="s">
        <v>32</v>
      </c>
      <c r="E144" s="18" t="s">
        <v>17</v>
      </c>
      <c r="F144" s="18" t="s">
        <v>35</v>
      </c>
      <c r="G144" s="15">
        <v>74</v>
      </c>
      <c r="H144" s="20">
        <v>700</v>
      </c>
      <c r="I144" s="21">
        <v>51800</v>
      </c>
      <c r="J144" s="21">
        <v>490</v>
      </c>
      <c r="K144" s="21">
        <v>15540</v>
      </c>
      <c r="L144" s="30">
        <f>MT1_[[#This Row],[Profit]]/MT1_[[#This Row],[Total Sales]]</f>
        <v>0.3</v>
      </c>
    </row>
    <row r="145" spans="1:12" ht="15.6" x14ac:dyDescent="0.3">
      <c r="A145" s="15">
        <v>1145</v>
      </c>
      <c r="B145" s="14">
        <v>45307</v>
      </c>
      <c r="C145" s="18" t="s">
        <v>20</v>
      </c>
      <c r="D145" s="18" t="s">
        <v>12</v>
      </c>
      <c r="E145" s="18" t="s">
        <v>25</v>
      </c>
      <c r="F145" s="18" t="s">
        <v>29</v>
      </c>
      <c r="G145" s="15">
        <v>77</v>
      </c>
      <c r="H145" s="20">
        <v>30000</v>
      </c>
      <c r="I145" s="21">
        <v>2310000</v>
      </c>
      <c r="J145" s="21">
        <v>24900</v>
      </c>
      <c r="K145" s="21">
        <v>392700</v>
      </c>
      <c r="L145" s="30">
        <f>MT1_[[#This Row],[Profit]]/MT1_[[#This Row],[Total Sales]]</f>
        <v>0.17</v>
      </c>
    </row>
    <row r="146" spans="1:12" ht="15.6" x14ac:dyDescent="0.3">
      <c r="A146" s="15">
        <v>1146</v>
      </c>
      <c r="B146" s="14">
        <v>45356</v>
      </c>
      <c r="C146" s="18" t="s">
        <v>21</v>
      </c>
      <c r="D146" s="18" t="s">
        <v>12</v>
      </c>
      <c r="E146" s="18" t="s">
        <v>28</v>
      </c>
      <c r="F146" s="18" t="s">
        <v>18</v>
      </c>
      <c r="G146" s="15">
        <v>12</v>
      </c>
      <c r="H146" s="20">
        <v>900</v>
      </c>
      <c r="I146" s="21">
        <v>10800</v>
      </c>
      <c r="J146" s="21">
        <v>639</v>
      </c>
      <c r="K146" s="21">
        <v>3132</v>
      </c>
      <c r="L146" s="30">
        <f>MT1_[[#This Row],[Profit]]/MT1_[[#This Row],[Total Sales]]</f>
        <v>0.28999999999999998</v>
      </c>
    </row>
    <row r="147" spans="1:12" ht="15.6" x14ac:dyDescent="0.3">
      <c r="A147" s="15">
        <v>1147</v>
      </c>
      <c r="B147" s="14">
        <v>45349</v>
      </c>
      <c r="C147" s="18" t="s">
        <v>19</v>
      </c>
      <c r="D147" s="18" t="s">
        <v>34</v>
      </c>
      <c r="E147" s="18" t="s">
        <v>28</v>
      </c>
      <c r="F147" s="18" t="s">
        <v>23</v>
      </c>
      <c r="G147" s="15">
        <v>57</v>
      </c>
      <c r="H147" s="20">
        <v>50</v>
      </c>
      <c r="I147" s="21">
        <v>2850</v>
      </c>
      <c r="J147" s="21">
        <v>35.5</v>
      </c>
      <c r="K147" s="21">
        <v>826.5</v>
      </c>
      <c r="L147" s="30">
        <f>MT1_[[#This Row],[Profit]]/MT1_[[#This Row],[Total Sales]]</f>
        <v>0.28999999999999998</v>
      </c>
    </row>
    <row r="148" spans="1:12" ht="15.6" x14ac:dyDescent="0.3">
      <c r="A148" s="15">
        <v>1148</v>
      </c>
      <c r="B148" s="14">
        <v>45343</v>
      </c>
      <c r="C148" s="18" t="s">
        <v>20</v>
      </c>
      <c r="D148" s="18" t="s">
        <v>32</v>
      </c>
      <c r="E148" s="18" t="s">
        <v>25</v>
      </c>
      <c r="F148" s="18" t="s">
        <v>35</v>
      </c>
      <c r="G148" s="15">
        <v>10</v>
      </c>
      <c r="H148" s="20">
        <v>500</v>
      </c>
      <c r="I148" s="21">
        <v>5000</v>
      </c>
      <c r="J148" s="21">
        <v>380</v>
      </c>
      <c r="K148" s="21">
        <v>1200</v>
      </c>
      <c r="L148" s="30">
        <f>MT1_[[#This Row],[Profit]]/MT1_[[#This Row],[Total Sales]]</f>
        <v>0.24</v>
      </c>
    </row>
    <row r="149" spans="1:12" ht="15.6" x14ac:dyDescent="0.3">
      <c r="A149" s="15">
        <v>1149</v>
      </c>
      <c r="B149" s="14">
        <v>45342</v>
      </c>
      <c r="C149" s="18" t="s">
        <v>11</v>
      </c>
      <c r="D149" s="18" t="s">
        <v>33</v>
      </c>
      <c r="E149" s="18" t="s">
        <v>13</v>
      </c>
      <c r="F149" s="18" t="s">
        <v>24</v>
      </c>
      <c r="G149" s="15">
        <v>86</v>
      </c>
      <c r="H149" s="20">
        <v>900</v>
      </c>
      <c r="I149" s="21">
        <v>77400</v>
      </c>
      <c r="J149" s="21">
        <v>675</v>
      </c>
      <c r="K149" s="21">
        <v>19350</v>
      </c>
      <c r="L149" s="30">
        <f>MT1_[[#This Row],[Profit]]/MT1_[[#This Row],[Total Sales]]</f>
        <v>0.25</v>
      </c>
    </row>
    <row r="150" spans="1:12" ht="15.6" x14ac:dyDescent="0.3">
      <c r="A150" s="15">
        <v>1150</v>
      </c>
      <c r="B150" s="14">
        <v>45372</v>
      </c>
      <c r="C150" s="18" t="s">
        <v>19</v>
      </c>
      <c r="D150" s="18" t="s">
        <v>12</v>
      </c>
      <c r="E150" s="18" t="s">
        <v>17</v>
      </c>
      <c r="F150" s="18" t="s">
        <v>29</v>
      </c>
      <c r="G150" s="15">
        <v>94</v>
      </c>
      <c r="H150" s="20">
        <v>30000</v>
      </c>
      <c r="I150" s="21">
        <v>2820000</v>
      </c>
      <c r="J150" s="21">
        <v>21900</v>
      </c>
      <c r="K150" s="21">
        <v>761400</v>
      </c>
      <c r="L150" s="30">
        <f>MT1_[[#This Row],[Profit]]/MT1_[[#This Row],[Total Sales]]</f>
        <v>0.27</v>
      </c>
    </row>
    <row r="151" spans="1:12" ht="15.6" x14ac:dyDescent="0.3">
      <c r="A151" s="15">
        <v>1151</v>
      </c>
      <c r="B151" s="14">
        <v>45339</v>
      </c>
      <c r="C151" s="18" t="s">
        <v>21</v>
      </c>
      <c r="D151" s="18" t="s">
        <v>34</v>
      </c>
      <c r="E151" s="18" t="s">
        <v>30</v>
      </c>
      <c r="F151" s="18" t="s">
        <v>36</v>
      </c>
      <c r="G151" s="15">
        <v>32</v>
      </c>
      <c r="H151" s="20">
        <v>30000</v>
      </c>
      <c r="I151" s="21">
        <v>960000</v>
      </c>
      <c r="J151" s="21">
        <v>22500</v>
      </c>
      <c r="K151" s="21">
        <v>240000</v>
      </c>
      <c r="L151" s="30">
        <f>MT1_[[#This Row],[Profit]]/MT1_[[#This Row],[Total Sales]]</f>
        <v>0.25</v>
      </c>
    </row>
    <row r="152" spans="1:12" ht="15.6" x14ac:dyDescent="0.3">
      <c r="A152" s="15">
        <v>1152</v>
      </c>
      <c r="B152" s="14">
        <v>45322</v>
      </c>
      <c r="C152" s="18" t="s">
        <v>11</v>
      </c>
      <c r="D152" s="18" t="s">
        <v>34</v>
      </c>
      <c r="E152" s="18" t="s">
        <v>17</v>
      </c>
      <c r="F152" s="18" t="s">
        <v>35</v>
      </c>
      <c r="G152" s="15">
        <v>38</v>
      </c>
      <c r="H152" s="20">
        <v>50</v>
      </c>
      <c r="I152" s="21">
        <v>1900</v>
      </c>
      <c r="J152" s="21">
        <v>37</v>
      </c>
      <c r="K152" s="21">
        <v>494</v>
      </c>
      <c r="L152" s="30">
        <f>MT1_[[#This Row],[Profit]]/MT1_[[#This Row],[Total Sales]]</f>
        <v>0.26</v>
      </c>
    </row>
    <row r="153" spans="1:12" ht="15.6" x14ac:dyDescent="0.3">
      <c r="A153" s="15">
        <v>1153</v>
      </c>
      <c r="B153" s="14">
        <v>45314</v>
      </c>
      <c r="C153" s="18" t="s">
        <v>11</v>
      </c>
      <c r="D153" s="18" t="s">
        <v>34</v>
      </c>
      <c r="E153" s="18" t="s">
        <v>17</v>
      </c>
      <c r="F153" s="18" t="s">
        <v>29</v>
      </c>
      <c r="G153" s="15">
        <v>72</v>
      </c>
      <c r="H153" s="20">
        <v>700</v>
      </c>
      <c r="I153" s="21">
        <v>50400</v>
      </c>
      <c r="J153" s="21">
        <v>630</v>
      </c>
      <c r="K153" s="21">
        <v>5040</v>
      </c>
      <c r="L153" s="30">
        <f>MT1_[[#This Row],[Profit]]/MT1_[[#This Row],[Total Sales]]</f>
        <v>0.1</v>
      </c>
    </row>
    <row r="154" spans="1:12" ht="15.6" x14ac:dyDescent="0.3">
      <c r="A154" s="15">
        <v>1154</v>
      </c>
      <c r="B154" s="14">
        <v>45378</v>
      </c>
      <c r="C154" s="18" t="s">
        <v>11</v>
      </c>
      <c r="D154" s="18" t="s">
        <v>16</v>
      </c>
      <c r="E154" s="18" t="s">
        <v>28</v>
      </c>
      <c r="F154" s="18" t="s">
        <v>36</v>
      </c>
      <c r="G154" s="15">
        <v>78</v>
      </c>
      <c r="H154" s="20">
        <v>15000</v>
      </c>
      <c r="I154" s="21">
        <v>1170000</v>
      </c>
      <c r="J154" s="21">
        <v>12450</v>
      </c>
      <c r="K154" s="21">
        <v>198900</v>
      </c>
      <c r="L154" s="30">
        <f>MT1_[[#This Row],[Profit]]/MT1_[[#This Row],[Total Sales]]</f>
        <v>0.17</v>
      </c>
    </row>
    <row r="155" spans="1:12" ht="15.6" x14ac:dyDescent="0.3">
      <c r="A155" s="15">
        <v>1155</v>
      </c>
      <c r="B155" s="14">
        <v>45331</v>
      </c>
      <c r="C155" s="18" t="s">
        <v>20</v>
      </c>
      <c r="D155" s="18" t="s">
        <v>33</v>
      </c>
      <c r="E155" s="18" t="s">
        <v>13</v>
      </c>
      <c r="F155" s="18" t="s">
        <v>36</v>
      </c>
      <c r="G155" s="15">
        <v>99</v>
      </c>
      <c r="H155" s="20">
        <v>300</v>
      </c>
      <c r="I155" s="21">
        <v>29700</v>
      </c>
      <c r="J155" s="21">
        <v>231</v>
      </c>
      <c r="K155" s="21">
        <v>6831</v>
      </c>
      <c r="L155" s="30">
        <f>MT1_[[#This Row],[Profit]]/MT1_[[#This Row],[Total Sales]]</f>
        <v>0.23</v>
      </c>
    </row>
    <row r="156" spans="1:12" ht="15.6" x14ac:dyDescent="0.3">
      <c r="A156" s="15">
        <v>1156</v>
      </c>
      <c r="B156" s="14">
        <v>45381</v>
      </c>
      <c r="C156" s="18" t="s">
        <v>21</v>
      </c>
      <c r="D156" s="18" t="s">
        <v>12</v>
      </c>
      <c r="E156" s="18" t="s">
        <v>28</v>
      </c>
      <c r="F156" s="18" t="s">
        <v>24</v>
      </c>
      <c r="G156" s="15">
        <v>58</v>
      </c>
      <c r="H156" s="20">
        <v>900</v>
      </c>
      <c r="I156" s="21">
        <v>52200</v>
      </c>
      <c r="J156" s="21">
        <v>693</v>
      </c>
      <c r="K156" s="21">
        <v>12006</v>
      </c>
      <c r="L156" s="30">
        <f>MT1_[[#This Row],[Profit]]/MT1_[[#This Row],[Total Sales]]</f>
        <v>0.23</v>
      </c>
    </row>
    <row r="157" spans="1:12" ht="15.6" x14ac:dyDescent="0.3">
      <c r="A157" s="15">
        <v>1157</v>
      </c>
      <c r="B157" s="14">
        <v>45356</v>
      </c>
      <c r="C157" s="18" t="s">
        <v>11</v>
      </c>
      <c r="D157" s="18" t="s">
        <v>12</v>
      </c>
      <c r="E157" s="18" t="s">
        <v>13</v>
      </c>
      <c r="F157" s="18" t="s">
        <v>24</v>
      </c>
      <c r="G157" s="15">
        <v>73</v>
      </c>
      <c r="H157" s="20">
        <v>300</v>
      </c>
      <c r="I157" s="21">
        <v>21900</v>
      </c>
      <c r="J157" s="21">
        <v>225</v>
      </c>
      <c r="K157" s="21">
        <v>5475</v>
      </c>
      <c r="L157" s="30">
        <f>MT1_[[#This Row],[Profit]]/MT1_[[#This Row],[Total Sales]]</f>
        <v>0.25</v>
      </c>
    </row>
    <row r="158" spans="1:12" ht="15.6" x14ac:dyDescent="0.3">
      <c r="A158" s="15">
        <v>1158</v>
      </c>
      <c r="B158" s="14">
        <v>45295</v>
      </c>
      <c r="C158" s="18" t="s">
        <v>21</v>
      </c>
      <c r="D158" s="18" t="s">
        <v>32</v>
      </c>
      <c r="E158" s="18" t="s">
        <v>25</v>
      </c>
      <c r="F158" s="18" t="s">
        <v>24</v>
      </c>
      <c r="G158" s="15">
        <v>77</v>
      </c>
      <c r="H158" s="20">
        <v>1200</v>
      </c>
      <c r="I158" s="21">
        <v>92400</v>
      </c>
      <c r="J158" s="21">
        <v>948</v>
      </c>
      <c r="K158" s="21">
        <v>19404</v>
      </c>
      <c r="L158" s="30">
        <f>MT1_[[#This Row],[Profit]]/MT1_[[#This Row],[Total Sales]]</f>
        <v>0.21</v>
      </c>
    </row>
    <row r="159" spans="1:12" ht="15.6" x14ac:dyDescent="0.3">
      <c r="A159" s="15">
        <v>1159</v>
      </c>
      <c r="B159" s="14">
        <v>45350</v>
      </c>
      <c r="C159" s="18" t="s">
        <v>11</v>
      </c>
      <c r="D159" s="18" t="s">
        <v>12</v>
      </c>
      <c r="E159" s="18" t="s">
        <v>13</v>
      </c>
      <c r="F159" s="18" t="s">
        <v>24</v>
      </c>
      <c r="G159" s="15">
        <v>98</v>
      </c>
      <c r="H159" s="20">
        <v>300</v>
      </c>
      <c r="I159" s="21">
        <v>29400</v>
      </c>
      <c r="J159" s="21">
        <v>219</v>
      </c>
      <c r="K159" s="21">
        <v>7938</v>
      </c>
      <c r="L159" s="30">
        <f>MT1_[[#This Row],[Profit]]/MT1_[[#This Row],[Total Sales]]</f>
        <v>0.27</v>
      </c>
    </row>
    <row r="160" spans="1:12" ht="15.6" x14ac:dyDescent="0.3">
      <c r="A160" s="15">
        <v>1160</v>
      </c>
      <c r="B160" s="14">
        <v>45307</v>
      </c>
      <c r="C160" s="18" t="s">
        <v>19</v>
      </c>
      <c r="D160" s="18" t="s">
        <v>12</v>
      </c>
      <c r="E160" s="18" t="s">
        <v>28</v>
      </c>
      <c r="F160" s="18" t="s">
        <v>23</v>
      </c>
      <c r="G160" s="15">
        <v>75</v>
      </c>
      <c r="H160" s="20">
        <v>15000</v>
      </c>
      <c r="I160" s="21">
        <v>1125000</v>
      </c>
      <c r="J160" s="21">
        <v>10950</v>
      </c>
      <c r="K160" s="21">
        <v>303750</v>
      </c>
      <c r="L160" s="30">
        <f>MT1_[[#This Row],[Profit]]/MT1_[[#This Row],[Total Sales]]</f>
        <v>0.27</v>
      </c>
    </row>
    <row r="161" spans="1:12" ht="15.6" x14ac:dyDescent="0.3">
      <c r="A161" s="15">
        <v>1161</v>
      </c>
      <c r="B161" s="14">
        <v>45359</v>
      </c>
      <c r="C161" s="18" t="s">
        <v>15</v>
      </c>
      <c r="D161" s="18" t="s">
        <v>34</v>
      </c>
      <c r="E161" s="18" t="s">
        <v>25</v>
      </c>
      <c r="F161" s="18" t="s">
        <v>14</v>
      </c>
      <c r="G161" s="15">
        <v>59</v>
      </c>
      <c r="H161" s="20">
        <v>15000</v>
      </c>
      <c r="I161" s="21">
        <v>885000</v>
      </c>
      <c r="J161" s="21">
        <v>10800</v>
      </c>
      <c r="K161" s="21">
        <v>247800</v>
      </c>
      <c r="L161" s="30">
        <f>MT1_[[#This Row],[Profit]]/MT1_[[#This Row],[Total Sales]]</f>
        <v>0.28000000000000003</v>
      </c>
    </row>
    <row r="162" spans="1:12" ht="15.6" x14ac:dyDescent="0.3">
      <c r="A162" s="15">
        <v>1162</v>
      </c>
      <c r="B162" s="14">
        <v>45324</v>
      </c>
      <c r="C162" s="18" t="s">
        <v>11</v>
      </c>
      <c r="D162" s="18" t="s">
        <v>12</v>
      </c>
      <c r="E162" s="18" t="s">
        <v>25</v>
      </c>
      <c r="F162" s="18" t="s">
        <v>24</v>
      </c>
      <c r="G162" s="15">
        <v>18</v>
      </c>
      <c r="H162" s="20">
        <v>900</v>
      </c>
      <c r="I162" s="21">
        <v>16200</v>
      </c>
      <c r="J162" s="21">
        <v>675</v>
      </c>
      <c r="K162" s="21">
        <v>4050</v>
      </c>
      <c r="L162" s="30">
        <f>MT1_[[#This Row],[Profit]]/MT1_[[#This Row],[Total Sales]]</f>
        <v>0.25</v>
      </c>
    </row>
    <row r="163" spans="1:12" ht="15.6" x14ac:dyDescent="0.3">
      <c r="A163" s="15">
        <v>1163</v>
      </c>
      <c r="B163" s="14">
        <v>45352</v>
      </c>
      <c r="C163" s="18" t="s">
        <v>19</v>
      </c>
      <c r="D163" s="18" t="s">
        <v>34</v>
      </c>
      <c r="E163" s="18" t="s">
        <v>17</v>
      </c>
      <c r="F163" s="18" t="s">
        <v>14</v>
      </c>
      <c r="G163" s="15">
        <v>79</v>
      </c>
      <c r="H163" s="20">
        <v>300</v>
      </c>
      <c r="I163" s="21">
        <v>23700</v>
      </c>
      <c r="J163" s="21">
        <v>219</v>
      </c>
      <c r="K163" s="21">
        <v>6399</v>
      </c>
      <c r="L163" s="30">
        <f>MT1_[[#This Row],[Profit]]/MT1_[[#This Row],[Total Sales]]</f>
        <v>0.27</v>
      </c>
    </row>
    <row r="164" spans="1:12" ht="15.6" x14ac:dyDescent="0.3">
      <c r="A164" s="15">
        <v>1164</v>
      </c>
      <c r="B164" s="14">
        <v>45304</v>
      </c>
      <c r="C164" s="18" t="s">
        <v>20</v>
      </c>
      <c r="D164" s="18" t="s">
        <v>12</v>
      </c>
      <c r="E164" s="18" t="s">
        <v>30</v>
      </c>
      <c r="F164" s="18" t="s">
        <v>24</v>
      </c>
      <c r="G164" s="15">
        <v>45</v>
      </c>
      <c r="H164" s="20">
        <v>50</v>
      </c>
      <c r="I164" s="21">
        <v>2250</v>
      </c>
      <c r="J164" s="21">
        <v>41</v>
      </c>
      <c r="K164" s="21">
        <v>405</v>
      </c>
      <c r="L164" s="30">
        <f>MT1_[[#This Row],[Profit]]/MT1_[[#This Row],[Total Sales]]</f>
        <v>0.18</v>
      </c>
    </row>
    <row r="165" spans="1:12" ht="15.6" x14ac:dyDescent="0.3">
      <c r="A165" s="15">
        <v>1165</v>
      </c>
      <c r="B165" s="14">
        <v>45301</v>
      </c>
      <c r="C165" s="18" t="s">
        <v>15</v>
      </c>
      <c r="D165" s="18" t="s">
        <v>32</v>
      </c>
      <c r="E165" s="18" t="s">
        <v>30</v>
      </c>
      <c r="F165" s="18" t="s">
        <v>23</v>
      </c>
      <c r="G165" s="15">
        <v>30</v>
      </c>
      <c r="H165" s="20">
        <v>300</v>
      </c>
      <c r="I165" s="21">
        <v>9000</v>
      </c>
      <c r="J165" s="21">
        <v>210</v>
      </c>
      <c r="K165" s="21">
        <v>2700</v>
      </c>
      <c r="L165" s="30">
        <f>MT1_[[#This Row],[Profit]]/MT1_[[#This Row],[Total Sales]]</f>
        <v>0.3</v>
      </c>
    </row>
    <row r="166" spans="1:12" ht="15.6" x14ac:dyDescent="0.3">
      <c r="A166" s="15">
        <v>1166</v>
      </c>
      <c r="B166" s="14">
        <v>45357</v>
      </c>
      <c r="C166" s="18" t="s">
        <v>15</v>
      </c>
      <c r="D166" s="18" t="s">
        <v>34</v>
      </c>
      <c r="E166" s="18" t="s">
        <v>28</v>
      </c>
      <c r="F166" s="18" t="s">
        <v>35</v>
      </c>
      <c r="G166" s="15">
        <v>99</v>
      </c>
      <c r="H166" s="20">
        <v>250</v>
      </c>
      <c r="I166" s="21">
        <v>24750</v>
      </c>
      <c r="J166" s="21">
        <v>197.5</v>
      </c>
      <c r="K166" s="21">
        <v>5197.5</v>
      </c>
      <c r="L166" s="30">
        <f>MT1_[[#This Row],[Profit]]/MT1_[[#This Row],[Total Sales]]</f>
        <v>0.21</v>
      </c>
    </row>
    <row r="167" spans="1:12" ht="15.6" x14ac:dyDescent="0.3">
      <c r="A167" s="15">
        <v>1167</v>
      </c>
      <c r="B167" s="14">
        <v>45345</v>
      </c>
      <c r="C167" s="18" t="s">
        <v>20</v>
      </c>
      <c r="D167" s="18" t="s">
        <v>32</v>
      </c>
      <c r="E167" s="18" t="s">
        <v>30</v>
      </c>
      <c r="F167" s="18" t="s">
        <v>29</v>
      </c>
      <c r="G167" s="15">
        <v>37</v>
      </c>
      <c r="H167" s="20">
        <v>15000</v>
      </c>
      <c r="I167" s="21">
        <v>555000</v>
      </c>
      <c r="J167" s="21">
        <v>12600</v>
      </c>
      <c r="K167" s="21">
        <v>88800</v>
      </c>
      <c r="L167" s="30">
        <f>MT1_[[#This Row],[Profit]]/MT1_[[#This Row],[Total Sales]]</f>
        <v>0.16</v>
      </c>
    </row>
    <row r="168" spans="1:12" ht="15.6" x14ac:dyDescent="0.3">
      <c r="A168" s="15">
        <v>1168</v>
      </c>
      <c r="B168" s="14">
        <v>45337</v>
      </c>
      <c r="C168" s="18" t="s">
        <v>21</v>
      </c>
      <c r="D168" s="18" t="s">
        <v>12</v>
      </c>
      <c r="E168" s="18" t="s">
        <v>28</v>
      </c>
      <c r="F168" s="18" t="s">
        <v>24</v>
      </c>
      <c r="G168" s="15">
        <v>60</v>
      </c>
      <c r="H168" s="20">
        <v>300</v>
      </c>
      <c r="I168" s="21">
        <v>18000</v>
      </c>
      <c r="J168" s="21">
        <v>240</v>
      </c>
      <c r="K168" s="21">
        <v>3600</v>
      </c>
      <c r="L168" s="30">
        <f>MT1_[[#This Row],[Profit]]/MT1_[[#This Row],[Total Sales]]</f>
        <v>0.2</v>
      </c>
    </row>
    <row r="169" spans="1:12" ht="15.6" x14ac:dyDescent="0.3">
      <c r="A169" s="15">
        <v>1169</v>
      </c>
      <c r="B169" s="14">
        <v>45327</v>
      </c>
      <c r="C169" s="18" t="s">
        <v>11</v>
      </c>
      <c r="D169" s="18" t="s">
        <v>34</v>
      </c>
      <c r="E169" s="18" t="s">
        <v>17</v>
      </c>
      <c r="F169" s="18" t="s">
        <v>27</v>
      </c>
      <c r="G169" s="15">
        <v>50</v>
      </c>
      <c r="H169" s="20">
        <v>1200</v>
      </c>
      <c r="I169" s="21">
        <v>60000</v>
      </c>
      <c r="J169" s="21">
        <v>984</v>
      </c>
      <c r="K169" s="21">
        <v>10800</v>
      </c>
      <c r="L169" s="30">
        <f>MT1_[[#This Row],[Profit]]/MT1_[[#This Row],[Total Sales]]</f>
        <v>0.18</v>
      </c>
    </row>
    <row r="170" spans="1:12" ht="15.6" x14ac:dyDescent="0.3">
      <c r="A170" s="15">
        <v>1170</v>
      </c>
      <c r="B170" s="14">
        <v>45359</v>
      </c>
      <c r="C170" s="18" t="s">
        <v>20</v>
      </c>
      <c r="D170" s="18" t="s">
        <v>12</v>
      </c>
      <c r="E170" s="18" t="s">
        <v>17</v>
      </c>
      <c r="F170" s="18" t="s">
        <v>26</v>
      </c>
      <c r="G170" s="15">
        <v>91</v>
      </c>
      <c r="H170" s="20">
        <v>250</v>
      </c>
      <c r="I170" s="21">
        <v>22750</v>
      </c>
      <c r="J170" s="21">
        <v>222.5</v>
      </c>
      <c r="K170" s="21">
        <v>2502.5</v>
      </c>
      <c r="L170" s="30">
        <f>MT1_[[#This Row],[Profit]]/MT1_[[#This Row],[Total Sales]]</f>
        <v>0.11</v>
      </c>
    </row>
    <row r="171" spans="1:12" ht="15.6" x14ac:dyDescent="0.3">
      <c r="A171" s="15">
        <v>1171</v>
      </c>
      <c r="B171" s="14">
        <v>45331</v>
      </c>
      <c r="C171" s="18" t="s">
        <v>15</v>
      </c>
      <c r="D171" s="18" t="s">
        <v>12</v>
      </c>
      <c r="E171" s="18" t="s">
        <v>28</v>
      </c>
      <c r="F171" s="18" t="s">
        <v>23</v>
      </c>
      <c r="G171" s="15">
        <v>65</v>
      </c>
      <c r="H171" s="20">
        <v>500</v>
      </c>
      <c r="I171" s="21">
        <v>32500</v>
      </c>
      <c r="J171" s="21">
        <v>380</v>
      </c>
      <c r="K171" s="21">
        <v>7800</v>
      </c>
      <c r="L171" s="30">
        <f>MT1_[[#This Row],[Profit]]/MT1_[[#This Row],[Total Sales]]</f>
        <v>0.24</v>
      </c>
    </row>
    <row r="172" spans="1:12" ht="15.6" x14ac:dyDescent="0.3">
      <c r="A172" s="15">
        <v>1172</v>
      </c>
      <c r="B172" s="14">
        <v>45315</v>
      </c>
      <c r="C172" s="18" t="s">
        <v>11</v>
      </c>
      <c r="D172" s="18" t="s">
        <v>34</v>
      </c>
      <c r="E172" s="18" t="s">
        <v>17</v>
      </c>
      <c r="F172" s="18" t="s">
        <v>29</v>
      </c>
      <c r="G172" s="15">
        <v>100</v>
      </c>
      <c r="H172" s="20">
        <v>50</v>
      </c>
      <c r="I172" s="21">
        <v>5000</v>
      </c>
      <c r="J172" s="21">
        <v>40.5</v>
      </c>
      <c r="K172" s="21">
        <v>950</v>
      </c>
      <c r="L172" s="30">
        <f>MT1_[[#This Row],[Profit]]/MT1_[[#This Row],[Total Sales]]</f>
        <v>0.19</v>
      </c>
    </row>
    <row r="173" spans="1:12" ht="15.6" x14ac:dyDescent="0.3">
      <c r="A173" s="15">
        <v>1173</v>
      </c>
      <c r="B173" s="14">
        <v>45330</v>
      </c>
      <c r="C173" s="18" t="s">
        <v>21</v>
      </c>
      <c r="D173" s="18" t="s">
        <v>12</v>
      </c>
      <c r="E173" s="18" t="s">
        <v>25</v>
      </c>
      <c r="F173" s="18" t="s">
        <v>18</v>
      </c>
      <c r="G173" s="15">
        <v>6</v>
      </c>
      <c r="H173" s="20">
        <v>900</v>
      </c>
      <c r="I173" s="21">
        <v>5400</v>
      </c>
      <c r="J173" s="21">
        <v>729</v>
      </c>
      <c r="K173" s="21">
        <v>1026</v>
      </c>
      <c r="L173" s="30">
        <f>MT1_[[#This Row],[Profit]]/MT1_[[#This Row],[Total Sales]]</f>
        <v>0.19</v>
      </c>
    </row>
    <row r="174" spans="1:12" ht="15.6" x14ac:dyDescent="0.3">
      <c r="A174" s="15">
        <v>1174</v>
      </c>
      <c r="B174" s="14">
        <v>45306</v>
      </c>
      <c r="C174" s="18" t="s">
        <v>21</v>
      </c>
      <c r="D174" s="18" t="s">
        <v>16</v>
      </c>
      <c r="E174" s="18" t="s">
        <v>13</v>
      </c>
      <c r="F174" s="18" t="s">
        <v>36</v>
      </c>
      <c r="G174" s="15">
        <v>59</v>
      </c>
      <c r="H174" s="20">
        <v>1200</v>
      </c>
      <c r="I174" s="21">
        <v>70800</v>
      </c>
      <c r="J174" s="21">
        <v>924</v>
      </c>
      <c r="K174" s="21">
        <v>16284</v>
      </c>
      <c r="L174" s="30">
        <f>MT1_[[#This Row],[Profit]]/MT1_[[#This Row],[Total Sales]]</f>
        <v>0.23</v>
      </c>
    </row>
    <row r="175" spans="1:12" ht="15.6" x14ac:dyDescent="0.3">
      <c r="A175" s="15">
        <v>1175</v>
      </c>
      <c r="B175" s="14">
        <v>45306</v>
      </c>
      <c r="C175" s="18" t="s">
        <v>11</v>
      </c>
      <c r="D175" s="18" t="s">
        <v>33</v>
      </c>
      <c r="E175" s="18" t="s">
        <v>17</v>
      </c>
      <c r="F175" s="18" t="s">
        <v>36</v>
      </c>
      <c r="G175" s="15">
        <v>57</v>
      </c>
      <c r="H175" s="20">
        <v>30000</v>
      </c>
      <c r="I175" s="21">
        <v>1710000</v>
      </c>
      <c r="J175" s="21">
        <v>21600</v>
      </c>
      <c r="K175" s="21">
        <v>478800</v>
      </c>
      <c r="L175" s="30">
        <f>MT1_[[#This Row],[Profit]]/MT1_[[#This Row],[Total Sales]]</f>
        <v>0.28000000000000003</v>
      </c>
    </row>
    <row r="176" spans="1:12" ht="15.6" x14ac:dyDescent="0.3">
      <c r="A176" s="15">
        <v>1176</v>
      </c>
      <c r="B176" s="14">
        <v>45332</v>
      </c>
      <c r="C176" s="18" t="s">
        <v>21</v>
      </c>
      <c r="D176" s="18" t="s">
        <v>34</v>
      </c>
      <c r="E176" s="18" t="s">
        <v>28</v>
      </c>
      <c r="F176" s="18" t="s">
        <v>18</v>
      </c>
      <c r="G176" s="15">
        <v>51</v>
      </c>
      <c r="H176" s="20">
        <v>30000</v>
      </c>
      <c r="I176" s="21">
        <v>1530000</v>
      </c>
      <c r="J176" s="21">
        <v>26100</v>
      </c>
      <c r="K176" s="21">
        <v>198900</v>
      </c>
      <c r="L176" s="30">
        <f>MT1_[[#This Row],[Profit]]/MT1_[[#This Row],[Total Sales]]</f>
        <v>0.13</v>
      </c>
    </row>
    <row r="177" spans="1:12" ht="15.6" x14ac:dyDescent="0.3">
      <c r="A177" s="15">
        <v>1177</v>
      </c>
      <c r="B177" s="14">
        <v>45350</v>
      </c>
      <c r="C177" s="18" t="s">
        <v>21</v>
      </c>
      <c r="D177" s="18" t="s">
        <v>33</v>
      </c>
      <c r="E177" s="18" t="s">
        <v>13</v>
      </c>
      <c r="F177" s="18" t="s">
        <v>27</v>
      </c>
      <c r="G177" s="15">
        <v>53</v>
      </c>
      <c r="H177" s="20">
        <v>250</v>
      </c>
      <c r="I177" s="21">
        <v>13250</v>
      </c>
      <c r="J177" s="21">
        <v>210</v>
      </c>
      <c r="K177" s="21">
        <v>2120</v>
      </c>
      <c r="L177" s="30">
        <f>MT1_[[#This Row],[Profit]]/MT1_[[#This Row],[Total Sales]]</f>
        <v>0.16</v>
      </c>
    </row>
    <row r="178" spans="1:12" ht="15.6" x14ac:dyDescent="0.3">
      <c r="A178" s="15">
        <v>1178</v>
      </c>
      <c r="B178" s="14">
        <v>45302</v>
      </c>
      <c r="C178" s="18" t="s">
        <v>15</v>
      </c>
      <c r="D178" s="18" t="s">
        <v>16</v>
      </c>
      <c r="E178" s="18" t="s">
        <v>25</v>
      </c>
      <c r="F178" s="18" t="s">
        <v>18</v>
      </c>
      <c r="G178" s="15">
        <v>55</v>
      </c>
      <c r="H178" s="20">
        <v>50</v>
      </c>
      <c r="I178" s="21">
        <v>2750</v>
      </c>
      <c r="J178" s="21">
        <v>42</v>
      </c>
      <c r="K178" s="21">
        <v>440</v>
      </c>
      <c r="L178" s="30">
        <f>MT1_[[#This Row],[Profit]]/MT1_[[#This Row],[Total Sales]]</f>
        <v>0.16</v>
      </c>
    </row>
    <row r="179" spans="1:12" ht="15.6" x14ac:dyDescent="0.3">
      <c r="A179" s="15">
        <v>1179</v>
      </c>
      <c r="B179" s="14">
        <v>45354</v>
      </c>
      <c r="C179" s="18" t="s">
        <v>15</v>
      </c>
      <c r="D179" s="18" t="s">
        <v>12</v>
      </c>
      <c r="E179" s="18" t="s">
        <v>25</v>
      </c>
      <c r="F179" s="18" t="s">
        <v>35</v>
      </c>
      <c r="G179" s="15">
        <v>8</v>
      </c>
      <c r="H179" s="20">
        <v>50</v>
      </c>
      <c r="I179" s="21">
        <v>400</v>
      </c>
      <c r="J179" s="21">
        <v>41</v>
      </c>
      <c r="K179" s="21">
        <v>72</v>
      </c>
      <c r="L179" s="30">
        <f>MT1_[[#This Row],[Profit]]/MT1_[[#This Row],[Total Sales]]</f>
        <v>0.18</v>
      </c>
    </row>
    <row r="180" spans="1:12" ht="15.6" x14ac:dyDescent="0.3">
      <c r="A180" s="15">
        <v>1180</v>
      </c>
      <c r="B180" s="14">
        <v>45309</v>
      </c>
      <c r="C180" s="18" t="s">
        <v>21</v>
      </c>
      <c r="D180" s="18" t="s">
        <v>16</v>
      </c>
      <c r="E180" s="18" t="s">
        <v>28</v>
      </c>
      <c r="F180" s="18" t="s">
        <v>36</v>
      </c>
      <c r="G180" s="15">
        <v>5</v>
      </c>
      <c r="H180" s="20">
        <v>900</v>
      </c>
      <c r="I180" s="21">
        <v>4500</v>
      </c>
      <c r="J180" s="21">
        <v>639</v>
      </c>
      <c r="K180" s="21">
        <v>1305</v>
      </c>
      <c r="L180" s="30">
        <f>MT1_[[#This Row],[Profit]]/MT1_[[#This Row],[Total Sales]]</f>
        <v>0.28999999999999998</v>
      </c>
    </row>
    <row r="181" spans="1:12" ht="15.6" x14ac:dyDescent="0.3">
      <c r="A181" s="15">
        <v>1181</v>
      </c>
      <c r="B181" s="14">
        <v>45303</v>
      </c>
      <c r="C181" s="18" t="s">
        <v>15</v>
      </c>
      <c r="D181" s="18" t="s">
        <v>12</v>
      </c>
      <c r="E181" s="18" t="s">
        <v>13</v>
      </c>
      <c r="F181" s="18" t="s">
        <v>27</v>
      </c>
      <c r="G181" s="15">
        <v>63</v>
      </c>
      <c r="H181" s="20">
        <v>900</v>
      </c>
      <c r="I181" s="21">
        <v>56700</v>
      </c>
      <c r="J181" s="21">
        <v>792</v>
      </c>
      <c r="K181" s="21">
        <v>6804</v>
      </c>
      <c r="L181" s="30">
        <f>MT1_[[#This Row],[Profit]]/MT1_[[#This Row],[Total Sales]]</f>
        <v>0.12</v>
      </c>
    </row>
    <row r="182" spans="1:12" ht="15.6" x14ac:dyDescent="0.3">
      <c r="A182" s="15">
        <v>1182</v>
      </c>
      <c r="B182" s="14">
        <v>45348</v>
      </c>
      <c r="C182" s="18" t="s">
        <v>19</v>
      </c>
      <c r="D182" s="18" t="s">
        <v>16</v>
      </c>
      <c r="E182" s="18" t="s">
        <v>28</v>
      </c>
      <c r="F182" s="18" t="s">
        <v>26</v>
      </c>
      <c r="G182" s="15">
        <v>30</v>
      </c>
      <c r="H182" s="20">
        <v>300</v>
      </c>
      <c r="I182" s="21">
        <v>9000</v>
      </c>
      <c r="J182" s="21">
        <v>231</v>
      </c>
      <c r="K182" s="21">
        <v>2070</v>
      </c>
      <c r="L182" s="30">
        <f>MT1_[[#This Row],[Profit]]/MT1_[[#This Row],[Total Sales]]</f>
        <v>0.23</v>
      </c>
    </row>
    <row r="183" spans="1:12" ht="15.6" x14ac:dyDescent="0.3">
      <c r="A183" s="15">
        <v>1183</v>
      </c>
      <c r="B183" s="14">
        <v>45365</v>
      </c>
      <c r="C183" s="18" t="s">
        <v>15</v>
      </c>
      <c r="D183" s="18" t="s">
        <v>12</v>
      </c>
      <c r="E183" s="18" t="s">
        <v>30</v>
      </c>
      <c r="F183" s="18" t="s">
        <v>14</v>
      </c>
      <c r="G183" s="15">
        <v>64</v>
      </c>
      <c r="H183" s="20">
        <v>500</v>
      </c>
      <c r="I183" s="21">
        <v>32000</v>
      </c>
      <c r="J183" s="21">
        <v>375</v>
      </c>
      <c r="K183" s="21">
        <v>8000</v>
      </c>
      <c r="L183" s="30">
        <f>MT1_[[#This Row],[Profit]]/MT1_[[#This Row],[Total Sales]]</f>
        <v>0.25</v>
      </c>
    </row>
    <row r="184" spans="1:12" ht="15.6" x14ac:dyDescent="0.3">
      <c r="A184" s="15">
        <v>1184</v>
      </c>
      <c r="B184" s="14">
        <v>45333</v>
      </c>
      <c r="C184" s="18" t="s">
        <v>19</v>
      </c>
      <c r="D184" s="18" t="s">
        <v>32</v>
      </c>
      <c r="E184" s="18" t="s">
        <v>13</v>
      </c>
      <c r="F184" s="18" t="s">
        <v>24</v>
      </c>
      <c r="G184" s="15">
        <v>72</v>
      </c>
      <c r="H184" s="20">
        <v>15000</v>
      </c>
      <c r="I184" s="21">
        <v>1080000</v>
      </c>
      <c r="J184" s="21">
        <v>12150</v>
      </c>
      <c r="K184" s="21">
        <v>205200</v>
      </c>
      <c r="L184" s="30">
        <f>MT1_[[#This Row],[Profit]]/MT1_[[#This Row],[Total Sales]]</f>
        <v>0.19</v>
      </c>
    </row>
    <row r="185" spans="1:12" ht="15.6" x14ac:dyDescent="0.3">
      <c r="A185" s="15">
        <v>1185</v>
      </c>
      <c r="B185" s="14">
        <v>45368</v>
      </c>
      <c r="C185" s="18" t="s">
        <v>15</v>
      </c>
      <c r="D185" s="18" t="s">
        <v>16</v>
      </c>
      <c r="E185" s="18" t="s">
        <v>13</v>
      </c>
      <c r="F185" s="18" t="s">
        <v>35</v>
      </c>
      <c r="G185" s="15">
        <v>92</v>
      </c>
      <c r="H185" s="20">
        <v>50</v>
      </c>
      <c r="I185" s="21">
        <v>4600</v>
      </c>
      <c r="J185" s="21">
        <v>40.5</v>
      </c>
      <c r="K185" s="21">
        <v>874</v>
      </c>
      <c r="L185" s="30">
        <f>MT1_[[#This Row],[Profit]]/MT1_[[#This Row],[Total Sales]]</f>
        <v>0.19</v>
      </c>
    </row>
    <row r="186" spans="1:12" ht="15.6" x14ac:dyDescent="0.3">
      <c r="A186" s="15">
        <v>1186</v>
      </c>
      <c r="B186" s="14">
        <v>45382</v>
      </c>
      <c r="C186" s="18" t="s">
        <v>15</v>
      </c>
      <c r="D186" s="18" t="s">
        <v>34</v>
      </c>
      <c r="E186" s="18" t="s">
        <v>13</v>
      </c>
      <c r="F186" s="18" t="s">
        <v>18</v>
      </c>
      <c r="G186" s="15">
        <v>35</v>
      </c>
      <c r="H186" s="20">
        <v>900</v>
      </c>
      <c r="I186" s="21">
        <v>31500</v>
      </c>
      <c r="J186" s="21">
        <v>765</v>
      </c>
      <c r="K186" s="21">
        <v>4725</v>
      </c>
      <c r="L186" s="30">
        <f>MT1_[[#This Row],[Profit]]/MT1_[[#This Row],[Total Sales]]</f>
        <v>0.15</v>
      </c>
    </row>
    <row r="187" spans="1:12" ht="15.6" x14ac:dyDescent="0.3">
      <c r="A187" s="15">
        <v>1187</v>
      </c>
      <c r="B187" s="14">
        <v>45382</v>
      </c>
      <c r="C187" s="18" t="s">
        <v>15</v>
      </c>
      <c r="D187" s="18" t="s">
        <v>12</v>
      </c>
      <c r="E187" s="18" t="s">
        <v>30</v>
      </c>
      <c r="F187" s="18" t="s">
        <v>14</v>
      </c>
      <c r="G187" s="15">
        <v>29</v>
      </c>
      <c r="H187" s="20">
        <v>700</v>
      </c>
      <c r="I187" s="21">
        <v>20300</v>
      </c>
      <c r="J187" s="21">
        <v>595</v>
      </c>
      <c r="K187" s="21">
        <v>3045</v>
      </c>
      <c r="L187" s="30">
        <f>MT1_[[#This Row],[Profit]]/MT1_[[#This Row],[Total Sales]]</f>
        <v>0.15</v>
      </c>
    </row>
    <row r="188" spans="1:12" ht="15.6" x14ac:dyDescent="0.3">
      <c r="A188" s="15">
        <v>1188</v>
      </c>
      <c r="B188" s="14">
        <v>45295</v>
      </c>
      <c r="C188" s="18" t="s">
        <v>19</v>
      </c>
      <c r="D188" s="18" t="s">
        <v>33</v>
      </c>
      <c r="E188" s="18" t="s">
        <v>13</v>
      </c>
      <c r="F188" s="18" t="s">
        <v>24</v>
      </c>
      <c r="G188" s="15">
        <v>2</v>
      </c>
      <c r="H188" s="20">
        <v>50</v>
      </c>
      <c r="I188" s="21">
        <v>100</v>
      </c>
      <c r="J188" s="21">
        <v>35</v>
      </c>
      <c r="K188" s="21">
        <v>30</v>
      </c>
      <c r="L188" s="30">
        <f>MT1_[[#This Row],[Profit]]/MT1_[[#This Row],[Total Sales]]</f>
        <v>0.3</v>
      </c>
    </row>
    <row r="189" spans="1:12" ht="15.6" x14ac:dyDescent="0.3">
      <c r="A189" s="15">
        <v>1189</v>
      </c>
      <c r="B189" s="14">
        <v>45344</v>
      </c>
      <c r="C189" s="18" t="s">
        <v>21</v>
      </c>
      <c r="D189" s="18" t="s">
        <v>33</v>
      </c>
      <c r="E189" s="18" t="s">
        <v>30</v>
      </c>
      <c r="F189" s="18" t="s">
        <v>29</v>
      </c>
      <c r="G189" s="15">
        <v>13</v>
      </c>
      <c r="H189" s="20">
        <v>1200</v>
      </c>
      <c r="I189" s="21">
        <v>15600</v>
      </c>
      <c r="J189" s="21">
        <v>912</v>
      </c>
      <c r="K189" s="21">
        <v>3744</v>
      </c>
      <c r="L189" s="30">
        <f>MT1_[[#This Row],[Profit]]/MT1_[[#This Row],[Total Sales]]</f>
        <v>0.24</v>
      </c>
    </row>
    <row r="190" spans="1:12" ht="15.6" x14ac:dyDescent="0.3">
      <c r="A190" s="15">
        <v>1190</v>
      </c>
      <c r="B190" s="14">
        <v>45362</v>
      </c>
      <c r="C190" s="18" t="s">
        <v>19</v>
      </c>
      <c r="D190" s="18" t="s">
        <v>34</v>
      </c>
      <c r="E190" s="18" t="s">
        <v>30</v>
      </c>
      <c r="F190" s="18" t="s">
        <v>31</v>
      </c>
      <c r="G190" s="15">
        <v>5</v>
      </c>
      <c r="H190" s="20">
        <v>150</v>
      </c>
      <c r="I190" s="21">
        <v>750</v>
      </c>
      <c r="J190" s="21">
        <v>120</v>
      </c>
      <c r="K190" s="21">
        <v>150</v>
      </c>
      <c r="L190" s="30">
        <f>MT1_[[#This Row],[Profit]]/MT1_[[#This Row],[Total Sales]]</f>
        <v>0.2</v>
      </c>
    </row>
    <row r="191" spans="1:12" ht="15.6" x14ac:dyDescent="0.3">
      <c r="A191" s="15">
        <v>1191</v>
      </c>
      <c r="B191" s="14">
        <v>45322</v>
      </c>
      <c r="C191" s="18" t="s">
        <v>21</v>
      </c>
      <c r="D191" s="18" t="s">
        <v>34</v>
      </c>
      <c r="E191" s="18" t="s">
        <v>25</v>
      </c>
      <c r="F191" s="18" t="s">
        <v>14</v>
      </c>
      <c r="G191" s="15">
        <v>69</v>
      </c>
      <c r="H191" s="20">
        <v>900</v>
      </c>
      <c r="I191" s="21">
        <v>62100</v>
      </c>
      <c r="J191" s="21">
        <v>774</v>
      </c>
      <c r="K191" s="21">
        <v>8694</v>
      </c>
      <c r="L191" s="30">
        <f>MT1_[[#This Row],[Profit]]/MT1_[[#This Row],[Total Sales]]</f>
        <v>0.14000000000000001</v>
      </c>
    </row>
    <row r="192" spans="1:12" ht="15.6" x14ac:dyDescent="0.3">
      <c r="A192" s="15">
        <v>1192</v>
      </c>
      <c r="B192" s="14">
        <v>45332</v>
      </c>
      <c r="C192" s="18" t="s">
        <v>11</v>
      </c>
      <c r="D192" s="18" t="s">
        <v>16</v>
      </c>
      <c r="E192" s="18" t="s">
        <v>25</v>
      </c>
      <c r="F192" s="18" t="s">
        <v>31</v>
      </c>
      <c r="G192" s="15">
        <v>96</v>
      </c>
      <c r="H192" s="20">
        <v>300</v>
      </c>
      <c r="I192" s="21">
        <v>28800</v>
      </c>
      <c r="J192" s="21">
        <v>231</v>
      </c>
      <c r="K192" s="21">
        <v>6624</v>
      </c>
      <c r="L192" s="30">
        <f>MT1_[[#This Row],[Profit]]/MT1_[[#This Row],[Total Sales]]</f>
        <v>0.23</v>
      </c>
    </row>
    <row r="193" spans="1:12" ht="15.6" x14ac:dyDescent="0.3">
      <c r="A193" s="15">
        <v>1193</v>
      </c>
      <c r="B193" s="14">
        <v>45315</v>
      </c>
      <c r="C193" s="18" t="s">
        <v>20</v>
      </c>
      <c r="D193" s="18" t="s">
        <v>16</v>
      </c>
      <c r="E193" s="18" t="s">
        <v>13</v>
      </c>
      <c r="F193" s="18" t="s">
        <v>26</v>
      </c>
      <c r="G193" s="15">
        <v>27</v>
      </c>
      <c r="H193" s="20">
        <v>30000</v>
      </c>
      <c r="I193" s="21">
        <v>810000</v>
      </c>
      <c r="J193" s="21">
        <v>23400</v>
      </c>
      <c r="K193" s="21">
        <v>178200</v>
      </c>
      <c r="L193" s="30">
        <f>MT1_[[#This Row],[Profit]]/MT1_[[#This Row],[Total Sales]]</f>
        <v>0.22</v>
      </c>
    </row>
    <row r="194" spans="1:12" ht="15.6" x14ac:dyDescent="0.3">
      <c r="A194" s="15">
        <v>1194</v>
      </c>
      <c r="B194" s="14">
        <v>45294</v>
      </c>
      <c r="C194" s="18" t="s">
        <v>15</v>
      </c>
      <c r="D194" s="18" t="s">
        <v>32</v>
      </c>
      <c r="E194" s="18" t="s">
        <v>30</v>
      </c>
      <c r="F194" s="18" t="s">
        <v>24</v>
      </c>
      <c r="G194" s="15">
        <v>54</v>
      </c>
      <c r="H194" s="20">
        <v>300</v>
      </c>
      <c r="I194" s="21">
        <v>16200</v>
      </c>
      <c r="J194" s="21">
        <v>216</v>
      </c>
      <c r="K194" s="21">
        <v>4536</v>
      </c>
      <c r="L194" s="30">
        <f>MT1_[[#This Row],[Profit]]/MT1_[[#This Row],[Total Sales]]</f>
        <v>0.28000000000000003</v>
      </c>
    </row>
    <row r="195" spans="1:12" ht="15.6" x14ac:dyDescent="0.3">
      <c r="A195" s="15">
        <v>1195</v>
      </c>
      <c r="B195" s="14">
        <v>45295</v>
      </c>
      <c r="C195" s="18" t="s">
        <v>11</v>
      </c>
      <c r="D195" s="18" t="s">
        <v>12</v>
      </c>
      <c r="E195" s="18" t="s">
        <v>25</v>
      </c>
      <c r="F195" s="18" t="s">
        <v>29</v>
      </c>
      <c r="G195" s="15">
        <v>82</v>
      </c>
      <c r="H195" s="20">
        <v>1200</v>
      </c>
      <c r="I195" s="21">
        <v>98400</v>
      </c>
      <c r="J195" s="21">
        <v>972</v>
      </c>
      <c r="K195" s="21">
        <v>18696</v>
      </c>
      <c r="L195" s="30">
        <f>MT1_[[#This Row],[Profit]]/MT1_[[#This Row],[Total Sales]]</f>
        <v>0.19</v>
      </c>
    </row>
    <row r="196" spans="1:12" ht="15.6" x14ac:dyDescent="0.3">
      <c r="A196" s="15">
        <v>1195</v>
      </c>
      <c r="B196" s="14">
        <v>45352</v>
      </c>
      <c r="C196" s="18" t="s">
        <v>19</v>
      </c>
      <c r="D196" s="18" t="s">
        <v>16</v>
      </c>
      <c r="E196" s="18" t="s">
        <v>30</v>
      </c>
      <c r="F196" s="18" t="s">
        <v>18</v>
      </c>
      <c r="G196" s="15">
        <v>16</v>
      </c>
      <c r="H196" s="20">
        <v>700</v>
      </c>
      <c r="I196" s="21">
        <v>11200</v>
      </c>
      <c r="J196" s="21">
        <v>595</v>
      </c>
      <c r="K196" s="21">
        <v>1680</v>
      </c>
      <c r="L196" s="30">
        <f>MT1_[[#This Row],[Profit]]/MT1_[[#This Row],[Total Sales]]</f>
        <v>0.15</v>
      </c>
    </row>
    <row r="197" spans="1:12" ht="15.6" x14ac:dyDescent="0.3">
      <c r="A197" s="15">
        <v>1197</v>
      </c>
      <c r="B197" s="14">
        <v>45331</v>
      </c>
      <c r="C197" s="18" t="s">
        <v>15</v>
      </c>
      <c r="D197" s="18" t="s">
        <v>32</v>
      </c>
      <c r="E197" s="18" t="s">
        <v>30</v>
      </c>
      <c r="F197" s="18" t="s">
        <v>18</v>
      </c>
      <c r="G197" s="15">
        <v>20</v>
      </c>
      <c r="H197" s="20">
        <v>30000</v>
      </c>
      <c r="I197" s="21">
        <v>600000</v>
      </c>
      <c r="J197" s="21">
        <v>27000</v>
      </c>
      <c r="K197" s="21">
        <v>60000</v>
      </c>
      <c r="L197" s="30">
        <f>MT1_[[#This Row],[Profit]]/MT1_[[#This Row],[Total Sales]]</f>
        <v>0.1</v>
      </c>
    </row>
    <row r="198" spans="1:12" ht="15.6" x14ac:dyDescent="0.3">
      <c r="A198" s="15">
        <v>1198</v>
      </c>
      <c r="B198" s="14">
        <v>45328</v>
      </c>
      <c r="C198" s="18" t="s">
        <v>20</v>
      </c>
      <c r="D198" s="18" t="s">
        <v>16</v>
      </c>
      <c r="E198" s="18" t="s">
        <v>13</v>
      </c>
      <c r="F198" s="18" t="s">
        <v>35</v>
      </c>
      <c r="G198" s="15">
        <v>46</v>
      </c>
      <c r="H198" s="20">
        <v>300</v>
      </c>
      <c r="I198" s="21">
        <v>13800</v>
      </c>
      <c r="J198" s="21">
        <v>216</v>
      </c>
      <c r="K198" s="21">
        <v>3864</v>
      </c>
      <c r="L198" s="30">
        <f>MT1_[[#This Row],[Profit]]/MT1_[[#This Row],[Total Sales]]</f>
        <v>0.28000000000000003</v>
      </c>
    </row>
    <row r="199" spans="1:12" ht="15.6" x14ac:dyDescent="0.3">
      <c r="A199" s="15">
        <v>1199</v>
      </c>
      <c r="B199" s="14">
        <v>45328</v>
      </c>
      <c r="C199" s="18" t="s">
        <v>11</v>
      </c>
      <c r="D199" s="18" t="s">
        <v>33</v>
      </c>
      <c r="E199" s="18" t="s">
        <v>30</v>
      </c>
      <c r="F199" s="18" t="s">
        <v>14</v>
      </c>
      <c r="G199" s="15">
        <v>45</v>
      </c>
      <c r="H199" s="20">
        <v>30000</v>
      </c>
      <c r="I199" s="21">
        <v>1350000</v>
      </c>
      <c r="J199" s="21">
        <v>26400</v>
      </c>
      <c r="K199" s="21">
        <v>162000</v>
      </c>
      <c r="L199" s="30">
        <f>MT1_[[#This Row],[Profit]]/MT1_[[#This Row],[Total Sales]]</f>
        <v>0.12</v>
      </c>
    </row>
    <row r="200" spans="1:12" ht="15.6" x14ac:dyDescent="0.3">
      <c r="A200" s="15">
        <v>1200</v>
      </c>
      <c r="B200" s="14">
        <v>45292</v>
      </c>
      <c r="C200" s="18" t="s">
        <v>21</v>
      </c>
      <c r="D200" s="18" t="s">
        <v>34</v>
      </c>
      <c r="E200" s="18" t="s">
        <v>28</v>
      </c>
      <c r="F200" s="18" t="s">
        <v>23</v>
      </c>
      <c r="G200" s="15">
        <v>58</v>
      </c>
      <c r="H200" s="20">
        <v>1200</v>
      </c>
      <c r="I200" s="21">
        <v>69600</v>
      </c>
      <c r="J200" s="21">
        <v>1044</v>
      </c>
      <c r="K200" s="21">
        <v>9048</v>
      </c>
      <c r="L200" s="30">
        <f>MT1_[[#This Row],[Profit]]/MT1_[[#This Row],[Total Sales]]</f>
        <v>0.13</v>
      </c>
    </row>
    <row r="201" spans="1:12" ht="15.6" x14ac:dyDescent="0.3">
      <c r="A201" s="15">
        <v>1201</v>
      </c>
      <c r="B201" s="14">
        <v>45377</v>
      </c>
      <c r="C201" s="18" t="s">
        <v>19</v>
      </c>
      <c r="D201" s="18" t="s">
        <v>33</v>
      </c>
      <c r="E201" s="18" t="s">
        <v>17</v>
      </c>
      <c r="F201" s="18" t="s">
        <v>35</v>
      </c>
      <c r="G201" s="15">
        <v>60</v>
      </c>
      <c r="H201" s="20">
        <v>30000</v>
      </c>
      <c r="I201" s="21">
        <v>1800000</v>
      </c>
      <c r="J201" s="21">
        <v>23400</v>
      </c>
      <c r="K201" s="21">
        <v>396000</v>
      </c>
      <c r="L201" s="30">
        <f>MT1_[[#This Row],[Profit]]/MT1_[[#This Row],[Total Sales]]</f>
        <v>0.22</v>
      </c>
    </row>
    <row r="202" spans="1:12" ht="15.6" x14ac:dyDescent="0.3">
      <c r="A202" s="15">
        <v>1202</v>
      </c>
      <c r="B202" s="14">
        <v>45366</v>
      </c>
      <c r="C202" s="18" t="s">
        <v>19</v>
      </c>
      <c r="D202" s="18" t="s">
        <v>16</v>
      </c>
      <c r="E202" s="18" t="s">
        <v>30</v>
      </c>
      <c r="F202" s="18" t="s">
        <v>24</v>
      </c>
      <c r="G202" s="15">
        <v>56</v>
      </c>
      <c r="H202" s="20">
        <v>50</v>
      </c>
      <c r="I202" s="21">
        <v>2800</v>
      </c>
      <c r="J202" s="21">
        <v>43.5</v>
      </c>
      <c r="K202" s="21">
        <v>364</v>
      </c>
      <c r="L202" s="30">
        <f>MT1_[[#This Row],[Profit]]/MT1_[[#This Row],[Total Sales]]</f>
        <v>0.13</v>
      </c>
    </row>
    <row r="203" spans="1:12" ht="15.6" x14ac:dyDescent="0.3">
      <c r="A203" s="15">
        <v>1203</v>
      </c>
      <c r="B203" s="14">
        <v>45301</v>
      </c>
      <c r="C203" s="18" t="s">
        <v>15</v>
      </c>
      <c r="D203" s="18" t="s">
        <v>34</v>
      </c>
      <c r="E203" s="18" t="s">
        <v>30</v>
      </c>
      <c r="F203" s="18" t="s">
        <v>31</v>
      </c>
      <c r="G203" s="15">
        <v>80</v>
      </c>
      <c r="H203" s="20">
        <v>50</v>
      </c>
      <c r="I203" s="21">
        <v>4000</v>
      </c>
      <c r="J203" s="21">
        <v>40</v>
      </c>
      <c r="K203" s="21">
        <v>800</v>
      </c>
      <c r="L203" s="30">
        <f>MT1_[[#This Row],[Profit]]/MT1_[[#This Row],[Total Sales]]</f>
        <v>0.2</v>
      </c>
    </row>
    <row r="204" spans="1:12" ht="15.6" x14ac:dyDescent="0.3">
      <c r="A204" s="15">
        <v>1204</v>
      </c>
      <c r="B204" s="14">
        <v>45354</v>
      </c>
      <c r="C204" s="18" t="s">
        <v>11</v>
      </c>
      <c r="D204" s="18" t="s">
        <v>12</v>
      </c>
      <c r="E204" s="18" t="s">
        <v>13</v>
      </c>
      <c r="F204" s="18" t="s">
        <v>26</v>
      </c>
      <c r="G204" s="15">
        <v>73</v>
      </c>
      <c r="H204" s="20">
        <v>15000</v>
      </c>
      <c r="I204" s="21">
        <v>1095000</v>
      </c>
      <c r="J204" s="21">
        <v>10950</v>
      </c>
      <c r="K204" s="21">
        <v>295650</v>
      </c>
      <c r="L204" s="30">
        <f>MT1_[[#This Row],[Profit]]/MT1_[[#This Row],[Total Sales]]</f>
        <v>0.27</v>
      </c>
    </row>
    <row r="205" spans="1:12" ht="15.6" x14ac:dyDescent="0.3">
      <c r="A205" s="15">
        <v>1205</v>
      </c>
      <c r="B205" s="14">
        <v>45353</v>
      </c>
      <c r="C205" s="18" t="s">
        <v>21</v>
      </c>
      <c r="D205" s="18" t="s">
        <v>16</v>
      </c>
      <c r="E205" s="18" t="s">
        <v>25</v>
      </c>
      <c r="F205" s="18" t="s">
        <v>36</v>
      </c>
      <c r="G205" s="15">
        <v>45</v>
      </c>
      <c r="H205" s="20">
        <v>50</v>
      </c>
      <c r="I205" s="21">
        <v>2250</v>
      </c>
      <c r="J205" s="21">
        <v>43.5</v>
      </c>
      <c r="K205" s="21">
        <v>292.5</v>
      </c>
      <c r="L205" s="30">
        <f>MT1_[[#This Row],[Profit]]/MT1_[[#This Row],[Total Sales]]</f>
        <v>0.13</v>
      </c>
    </row>
    <row r="206" spans="1:12" ht="15.6" x14ac:dyDescent="0.3">
      <c r="A206" s="15">
        <v>1206</v>
      </c>
      <c r="B206" s="14">
        <v>45323</v>
      </c>
      <c r="C206" s="18" t="s">
        <v>19</v>
      </c>
      <c r="D206" s="18" t="s">
        <v>16</v>
      </c>
      <c r="E206" s="18" t="s">
        <v>13</v>
      </c>
      <c r="F206" s="18" t="s">
        <v>31</v>
      </c>
      <c r="G206" s="15">
        <v>46</v>
      </c>
      <c r="H206" s="20">
        <v>15000</v>
      </c>
      <c r="I206" s="21">
        <v>690000</v>
      </c>
      <c r="J206" s="21">
        <v>10950</v>
      </c>
      <c r="K206" s="21">
        <v>186300</v>
      </c>
      <c r="L206" s="30">
        <f>MT1_[[#This Row],[Profit]]/MT1_[[#This Row],[Total Sales]]</f>
        <v>0.27</v>
      </c>
    </row>
    <row r="207" spans="1:12" ht="15.6" x14ac:dyDescent="0.3">
      <c r="A207" s="15">
        <v>1207</v>
      </c>
      <c r="B207" s="14">
        <v>45333</v>
      </c>
      <c r="C207" s="18" t="s">
        <v>19</v>
      </c>
      <c r="D207" s="18" t="s">
        <v>12</v>
      </c>
      <c r="E207" s="18" t="s">
        <v>30</v>
      </c>
      <c r="F207" s="18" t="s">
        <v>35</v>
      </c>
      <c r="G207" s="15">
        <v>98</v>
      </c>
      <c r="H207" s="20">
        <v>500</v>
      </c>
      <c r="I207" s="21">
        <v>49000</v>
      </c>
      <c r="J207" s="21">
        <v>445</v>
      </c>
      <c r="K207" s="21">
        <v>5390</v>
      </c>
      <c r="L207" s="30">
        <f>MT1_[[#This Row],[Profit]]/MT1_[[#This Row],[Total Sales]]</f>
        <v>0.11</v>
      </c>
    </row>
    <row r="208" spans="1:12" ht="15.6" x14ac:dyDescent="0.3">
      <c r="A208" s="15">
        <v>1208</v>
      </c>
      <c r="B208" s="14">
        <v>45360</v>
      </c>
      <c r="C208" s="18" t="s">
        <v>15</v>
      </c>
      <c r="D208" s="18" t="s">
        <v>34</v>
      </c>
      <c r="E208" s="18" t="s">
        <v>13</v>
      </c>
      <c r="F208" s="18" t="s">
        <v>35</v>
      </c>
      <c r="G208" s="15">
        <v>99</v>
      </c>
      <c r="H208" s="20">
        <v>250</v>
      </c>
      <c r="I208" s="21">
        <v>24750</v>
      </c>
      <c r="J208" s="21">
        <v>215</v>
      </c>
      <c r="K208" s="21">
        <v>3465</v>
      </c>
      <c r="L208" s="30">
        <f>MT1_[[#This Row],[Profit]]/MT1_[[#This Row],[Total Sales]]</f>
        <v>0.14000000000000001</v>
      </c>
    </row>
    <row r="209" spans="1:12" ht="15.6" x14ac:dyDescent="0.3">
      <c r="A209" s="15">
        <v>1209</v>
      </c>
      <c r="B209" s="14">
        <v>45362</v>
      </c>
      <c r="C209" s="18" t="s">
        <v>19</v>
      </c>
      <c r="D209" s="18" t="s">
        <v>32</v>
      </c>
      <c r="E209" s="18" t="s">
        <v>17</v>
      </c>
      <c r="F209" s="18" t="s">
        <v>31</v>
      </c>
      <c r="G209" s="15">
        <v>2</v>
      </c>
      <c r="H209" s="20">
        <v>700</v>
      </c>
      <c r="I209" s="21">
        <v>1400</v>
      </c>
      <c r="J209" s="21">
        <v>525</v>
      </c>
      <c r="K209" s="21">
        <v>350</v>
      </c>
      <c r="L209" s="30">
        <f>MT1_[[#This Row],[Profit]]/MT1_[[#This Row],[Total Sales]]</f>
        <v>0.25</v>
      </c>
    </row>
    <row r="210" spans="1:12" ht="15.6" x14ac:dyDescent="0.3">
      <c r="A210" s="15">
        <v>1210</v>
      </c>
      <c r="B210" s="14">
        <v>45382</v>
      </c>
      <c r="C210" s="18" t="s">
        <v>20</v>
      </c>
      <c r="D210" s="18" t="s">
        <v>32</v>
      </c>
      <c r="E210" s="18" t="s">
        <v>28</v>
      </c>
      <c r="F210" s="18" t="s">
        <v>18</v>
      </c>
      <c r="G210" s="15">
        <v>51</v>
      </c>
      <c r="H210" s="20">
        <v>900</v>
      </c>
      <c r="I210" s="21">
        <v>45900</v>
      </c>
      <c r="J210" s="21">
        <v>756</v>
      </c>
      <c r="K210" s="21">
        <v>7344</v>
      </c>
      <c r="L210" s="30">
        <f>MT1_[[#This Row],[Profit]]/MT1_[[#This Row],[Total Sales]]</f>
        <v>0.16</v>
      </c>
    </row>
    <row r="211" spans="1:12" ht="15.6" x14ac:dyDescent="0.3">
      <c r="A211" s="15">
        <v>1211</v>
      </c>
      <c r="B211" s="14">
        <v>45310</v>
      </c>
      <c r="C211" s="18" t="s">
        <v>19</v>
      </c>
      <c r="D211" s="18" t="s">
        <v>33</v>
      </c>
      <c r="E211" s="18" t="s">
        <v>13</v>
      </c>
      <c r="F211" s="18" t="s">
        <v>24</v>
      </c>
      <c r="G211" s="15">
        <v>12</v>
      </c>
      <c r="H211" s="20">
        <v>300</v>
      </c>
      <c r="I211" s="21">
        <v>3600</v>
      </c>
      <c r="J211" s="21">
        <v>246</v>
      </c>
      <c r="K211" s="21">
        <v>648</v>
      </c>
      <c r="L211" s="30">
        <f>MT1_[[#This Row],[Profit]]/MT1_[[#This Row],[Total Sales]]</f>
        <v>0.18</v>
      </c>
    </row>
    <row r="212" spans="1:12" ht="15.6" x14ac:dyDescent="0.3">
      <c r="A212" s="15">
        <v>1212</v>
      </c>
      <c r="B212" s="14">
        <v>45335</v>
      </c>
      <c r="C212" s="18" t="s">
        <v>20</v>
      </c>
      <c r="D212" s="18" t="s">
        <v>33</v>
      </c>
      <c r="E212" s="18" t="s">
        <v>13</v>
      </c>
      <c r="F212" s="18" t="s">
        <v>35</v>
      </c>
      <c r="G212" s="15">
        <v>91</v>
      </c>
      <c r="H212" s="20">
        <v>300</v>
      </c>
      <c r="I212" s="21">
        <v>27300</v>
      </c>
      <c r="J212" s="21">
        <v>210</v>
      </c>
      <c r="K212" s="21">
        <v>8190</v>
      </c>
      <c r="L212" s="30">
        <f>MT1_[[#This Row],[Profit]]/MT1_[[#This Row],[Total Sales]]</f>
        <v>0.3</v>
      </c>
    </row>
    <row r="213" spans="1:12" ht="15.6" x14ac:dyDescent="0.3">
      <c r="A213" s="15">
        <v>1213</v>
      </c>
      <c r="B213" s="14">
        <v>45308</v>
      </c>
      <c r="C213" s="18" t="s">
        <v>15</v>
      </c>
      <c r="D213" s="18" t="s">
        <v>16</v>
      </c>
      <c r="E213" s="18" t="s">
        <v>17</v>
      </c>
      <c r="F213" s="18" t="s">
        <v>18</v>
      </c>
      <c r="G213" s="15">
        <v>51</v>
      </c>
      <c r="H213" s="20">
        <v>900</v>
      </c>
      <c r="I213" s="21">
        <v>45900</v>
      </c>
      <c r="J213" s="21">
        <v>756</v>
      </c>
      <c r="K213" s="21">
        <v>7344</v>
      </c>
      <c r="L213" s="30">
        <f>MT1_[[#This Row],[Profit]]/MT1_[[#This Row],[Total Sales]]</f>
        <v>0.16</v>
      </c>
    </row>
    <row r="214" spans="1:12" ht="15.6" x14ac:dyDescent="0.3">
      <c r="A214" s="15">
        <v>1214</v>
      </c>
      <c r="B214" s="14">
        <v>45364</v>
      </c>
      <c r="C214" s="18" t="s">
        <v>15</v>
      </c>
      <c r="D214" s="18" t="s">
        <v>34</v>
      </c>
      <c r="E214" s="18" t="s">
        <v>25</v>
      </c>
      <c r="F214" s="18" t="s">
        <v>27</v>
      </c>
      <c r="G214" s="15">
        <v>10</v>
      </c>
      <c r="H214" s="20">
        <v>50</v>
      </c>
      <c r="I214" s="21">
        <v>500</v>
      </c>
      <c r="J214" s="21">
        <v>35.5</v>
      </c>
      <c r="K214" s="21">
        <v>145</v>
      </c>
      <c r="L214" s="30">
        <f>MT1_[[#This Row],[Profit]]/MT1_[[#This Row],[Total Sales]]</f>
        <v>0.28999999999999998</v>
      </c>
    </row>
    <row r="215" spans="1:12" ht="15.6" x14ac:dyDescent="0.3">
      <c r="A215" s="15">
        <v>1215</v>
      </c>
      <c r="B215" s="14">
        <v>45298</v>
      </c>
      <c r="C215" s="18" t="s">
        <v>21</v>
      </c>
      <c r="D215" s="18" t="s">
        <v>34</v>
      </c>
      <c r="E215" s="18" t="s">
        <v>17</v>
      </c>
      <c r="F215" s="18" t="s">
        <v>23</v>
      </c>
      <c r="G215" s="15">
        <v>22</v>
      </c>
      <c r="H215" s="20">
        <v>300</v>
      </c>
      <c r="I215" s="21">
        <v>6600</v>
      </c>
      <c r="J215" s="21">
        <v>243</v>
      </c>
      <c r="K215" s="21">
        <v>1254</v>
      </c>
      <c r="L215" s="30">
        <f>MT1_[[#This Row],[Profit]]/MT1_[[#This Row],[Total Sales]]</f>
        <v>0.19</v>
      </c>
    </row>
    <row r="216" spans="1:12" ht="15.6" x14ac:dyDescent="0.3">
      <c r="A216" s="15">
        <v>1216</v>
      </c>
      <c r="B216" s="14">
        <v>45327</v>
      </c>
      <c r="C216" s="18" t="s">
        <v>19</v>
      </c>
      <c r="D216" s="18" t="s">
        <v>33</v>
      </c>
      <c r="E216" s="18" t="s">
        <v>17</v>
      </c>
      <c r="F216" s="18" t="s">
        <v>24</v>
      </c>
      <c r="G216" s="15">
        <v>89</v>
      </c>
      <c r="H216" s="20">
        <v>1200</v>
      </c>
      <c r="I216" s="21">
        <v>106800</v>
      </c>
      <c r="J216" s="21">
        <v>1044</v>
      </c>
      <c r="K216" s="21">
        <v>13884</v>
      </c>
      <c r="L216" s="30">
        <f>MT1_[[#This Row],[Profit]]/MT1_[[#This Row],[Total Sales]]</f>
        <v>0.13</v>
      </c>
    </row>
    <row r="217" spans="1:12" ht="15.6" x14ac:dyDescent="0.3">
      <c r="A217" s="15">
        <v>1217</v>
      </c>
      <c r="B217" s="14">
        <v>45346</v>
      </c>
      <c r="C217" s="18" t="s">
        <v>21</v>
      </c>
      <c r="D217" s="18" t="s">
        <v>16</v>
      </c>
      <c r="E217" s="18" t="s">
        <v>25</v>
      </c>
      <c r="F217" s="18" t="s">
        <v>23</v>
      </c>
      <c r="G217" s="15">
        <v>81</v>
      </c>
      <c r="H217" s="20">
        <v>50</v>
      </c>
      <c r="I217" s="21">
        <v>4050</v>
      </c>
      <c r="J217" s="21">
        <v>44.5</v>
      </c>
      <c r="K217" s="21">
        <v>445.5</v>
      </c>
      <c r="L217" s="30">
        <f>MT1_[[#This Row],[Profit]]/MT1_[[#This Row],[Total Sales]]</f>
        <v>0.11</v>
      </c>
    </row>
    <row r="218" spans="1:12" ht="15.6" x14ac:dyDescent="0.3">
      <c r="A218" s="15">
        <v>1218</v>
      </c>
      <c r="B218" s="14">
        <v>45351</v>
      </c>
      <c r="C218" s="18" t="s">
        <v>15</v>
      </c>
      <c r="D218" s="18" t="s">
        <v>34</v>
      </c>
      <c r="E218" s="18" t="s">
        <v>17</v>
      </c>
      <c r="F218" s="18" t="s">
        <v>35</v>
      </c>
      <c r="G218" s="15">
        <v>79</v>
      </c>
      <c r="H218" s="20">
        <v>700</v>
      </c>
      <c r="I218" s="21">
        <v>55300</v>
      </c>
      <c r="J218" s="21">
        <v>532</v>
      </c>
      <c r="K218" s="21">
        <v>13272</v>
      </c>
      <c r="L218" s="30">
        <f>MT1_[[#This Row],[Profit]]/MT1_[[#This Row],[Total Sales]]</f>
        <v>0.24</v>
      </c>
    </row>
    <row r="219" spans="1:12" ht="15.6" x14ac:dyDescent="0.3">
      <c r="A219" s="15">
        <v>1219</v>
      </c>
      <c r="B219" s="14">
        <v>45319</v>
      </c>
      <c r="C219" s="18" t="s">
        <v>11</v>
      </c>
      <c r="D219" s="18" t="s">
        <v>12</v>
      </c>
      <c r="E219" s="18" t="s">
        <v>30</v>
      </c>
      <c r="F219" s="18" t="s">
        <v>26</v>
      </c>
      <c r="G219" s="15">
        <v>14</v>
      </c>
      <c r="H219" s="20">
        <v>300</v>
      </c>
      <c r="I219" s="21">
        <v>4200</v>
      </c>
      <c r="J219" s="21">
        <v>270</v>
      </c>
      <c r="K219" s="21">
        <v>420</v>
      </c>
      <c r="L219" s="30">
        <f>MT1_[[#This Row],[Profit]]/MT1_[[#This Row],[Total Sales]]</f>
        <v>0.1</v>
      </c>
    </row>
    <row r="220" spans="1:12" ht="15.6" x14ac:dyDescent="0.3">
      <c r="A220" s="15">
        <v>1220</v>
      </c>
      <c r="B220" s="14">
        <v>45314</v>
      </c>
      <c r="C220" s="18" t="s">
        <v>21</v>
      </c>
      <c r="D220" s="18" t="s">
        <v>12</v>
      </c>
      <c r="E220" s="18" t="s">
        <v>28</v>
      </c>
      <c r="F220" s="18" t="s">
        <v>14</v>
      </c>
      <c r="G220" s="15">
        <v>55</v>
      </c>
      <c r="H220" s="20">
        <v>150</v>
      </c>
      <c r="I220" s="21">
        <v>8250</v>
      </c>
      <c r="J220" s="21">
        <v>135</v>
      </c>
      <c r="K220" s="21">
        <v>825</v>
      </c>
      <c r="L220" s="30">
        <f>MT1_[[#This Row],[Profit]]/MT1_[[#This Row],[Total Sales]]</f>
        <v>0.1</v>
      </c>
    </row>
    <row r="221" spans="1:12" ht="15.6" x14ac:dyDescent="0.3">
      <c r="A221" s="15">
        <v>1221</v>
      </c>
      <c r="B221" s="14">
        <v>45369</v>
      </c>
      <c r="C221" s="18" t="s">
        <v>11</v>
      </c>
      <c r="D221" s="18" t="s">
        <v>32</v>
      </c>
      <c r="E221" s="18" t="s">
        <v>30</v>
      </c>
      <c r="F221" s="18" t="s">
        <v>27</v>
      </c>
      <c r="G221" s="15">
        <v>60</v>
      </c>
      <c r="H221" s="20">
        <v>150</v>
      </c>
      <c r="I221" s="21">
        <v>9000</v>
      </c>
      <c r="J221" s="21">
        <v>111</v>
      </c>
      <c r="K221" s="21">
        <v>2340</v>
      </c>
      <c r="L221" s="30">
        <f>MT1_[[#This Row],[Profit]]/MT1_[[#This Row],[Total Sales]]</f>
        <v>0.26</v>
      </c>
    </row>
    <row r="222" spans="1:12" ht="15.6" x14ac:dyDescent="0.3">
      <c r="A222" s="15">
        <v>1222</v>
      </c>
      <c r="B222" s="14">
        <v>45294</v>
      </c>
      <c r="C222" s="18" t="s">
        <v>20</v>
      </c>
      <c r="D222" s="18" t="s">
        <v>12</v>
      </c>
      <c r="E222" s="18" t="s">
        <v>28</v>
      </c>
      <c r="F222" s="18" t="s">
        <v>23</v>
      </c>
      <c r="G222" s="15">
        <v>10</v>
      </c>
      <c r="H222" s="20">
        <v>500</v>
      </c>
      <c r="I222" s="21">
        <v>5000</v>
      </c>
      <c r="J222" s="21">
        <v>420</v>
      </c>
      <c r="K222" s="21">
        <v>800</v>
      </c>
      <c r="L222" s="30">
        <f>MT1_[[#This Row],[Profit]]/MT1_[[#This Row],[Total Sales]]</f>
        <v>0.16</v>
      </c>
    </row>
    <row r="223" spans="1:12" ht="15.6" x14ac:dyDescent="0.3">
      <c r="A223" s="15">
        <v>1223</v>
      </c>
      <c r="B223" s="14">
        <v>45357</v>
      </c>
      <c r="C223" s="18" t="s">
        <v>20</v>
      </c>
      <c r="D223" s="18" t="s">
        <v>16</v>
      </c>
      <c r="E223" s="18" t="s">
        <v>17</v>
      </c>
      <c r="F223" s="18" t="s">
        <v>23</v>
      </c>
      <c r="G223" s="15">
        <v>10</v>
      </c>
      <c r="H223" s="20">
        <v>900</v>
      </c>
      <c r="I223" s="21">
        <v>9000</v>
      </c>
      <c r="J223" s="21">
        <v>657</v>
      </c>
      <c r="K223" s="21">
        <v>2430</v>
      </c>
      <c r="L223" s="30">
        <f>MT1_[[#This Row],[Profit]]/MT1_[[#This Row],[Total Sales]]</f>
        <v>0.27</v>
      </c>
    </row>
    <row r="224" spans="1:12" ht="15.6" x14ac:dyDescent="0.3">
      <c r="A224" s="15">
        <v>1224</v>
      </c>
      <c r="B224" s="14">
        <v>45325</v>
      </c>
      <c r="C224" s="18" t="s">
        <v>20</v>
      </c>
      <c r="D224" s="18" t="s">
        <v>33</v>
      </c>
      <c r="E224" s="18" t="s">
        <v>28</v>
      </c>
      <c r="F224" s="18" t="s">
        <v>23</v>
      </c>
      <c r="G224" s="15">
        <v>26</v>
      </c>
      <c r="H224" s="20">
        <v>15000</v>
      </c>
      <c r="I224" s="21">
        <v>390000</v>
      </c>
      <c r="J224" s="21">
        <v>12450</v>
      </c>
      <c r="K224" s="21">
        <v>66300</v>
      </c>
      <c r="L224" s="30">
        <f>MT1_[[#This Row],[Profit]]/MT1_[[#This Row],[Total Sales]]</f>
        <v>0.17</v>
      </c>
    </row>
    <row r="225" spans="1:12" ht="15.6" x14ac:dyDescent="0.3">
      <c r="A225" s="15">
        <v>1225</v>
      </c>
      <c r="B225" s="14">
        <v>45300</v>
      </c>
      <c r="C225" s="18" t="s">
        <v>19</v>
      </c>
      <c r="D225" s="18" t="s">
        <v>16</v>
      </c>
      <c r="E225" s="18" t="s">
        <v>30</v>
      </c>
      <c r="F225" s="18" t="s">
        <v>26</v>
      </c>
      <c r="G225" s="15">
        <v>16</v>
      </c>
      <c r="H225" s="20">
        <v>15000</v>
      </c>
      <c r="I225" s="21">
        <v>240000</v>
      </c>
      <c r="J225" s="21">
        <v>12600</v>
      </c>
      <c r="K225" s="21">
        <v>38400</v>
      </c>
      <c r="L225" s="30">
        <f>MT1_[[#This Row],[Profit]]/MT1_[[#This Row],[Total Sales]]</f>
        <v>0.16</v>
      </c>
    </row>
    <row r="226" spans="1:12" ht="15.6" x14ac:dyDescent="0.3">
      <c r="A226" s="15">
        <v>1226</v>
      </c>
      <c r="B226" s="14">
        <v>45360</v>
      </c>
      <c r="C226" s="18" t="s">
        <v>20</v>
      </c>
      <c r="D226" s="18" t="s">
        <v>12</v>
      </c>
      <c r="E226" s="18" t="s">
        <v>13</v>
      </c>
      <c r="F226" s="18" t="s">
        <v>18</v>
      </c>
      <c r="G226" s="15">
        <v>61</v>
      </c>
      <c r="H226" s="20">
        <v>700</v>
      </c>
      <c r="I226" s="21">
        <v>42700</v>
      </c>
      <c r="J226" s="21">
        <v>497</v>
      </c>
      <c r="K226" s="21">
        <v>12383</v>
      </c>
      <c r="L226" s="30">
        <f>MT1_[[#This Row],[Profit]]/MT1_[[#This Row],[Total Sales]]</f>
        <v>0.28999999999999998</v>
      </c>
    </row>
    <row r="227" spans="1:12" ht="15.6" x14ac:dyDescent="0.3">
      <c r="A227" s="15">
        <v>1227</v>
      </c>
      <c r="B227" s="14">
        <v>45348</v>
      </c>
      <c r="C227" s="18" t="s">
        <v>15</v>
      </c>
      <c r="D227" s="18" t="s">
        <v>16</v>
      </c>
      <c r="E227" s="18" t="s">
        <v>28</v>
      </c>
      <c r="F227" s="18" t="s">
        <v>29</v>
      </c>
      <c r="G227" s="15">
        <v>60</v>
      </c>
      <c r="H227" s="20">
        <v>15000</v>
      </c>
      <c r="I227" s="21">
        <v>900000</v>
      </c>
      <c r="J227" s="21">
        <v>12450</v>
      </c>
      <c r="K227" s="21">
        <v>153000</v>
      </c>
      <c r="L227" s="30">
        <f>MT1_[[#This Row],[Profit]]/MT1_[[#This Row],[Total Sales]]</f>
        <v>0.17</v>
      </c>
    </row>
    <row r="228" spans="1:12" ht="15.6" x14ac:dyDescent="0.3">
      <c r="A228" s="15">
        <v>1228</v>
      </c>
      <c r="B228" s="14">
        <v>45298</v>
      </c>
      <c r="C228" s="18" t="s">
        <v>19</v>
      </c>
      <c r="D228" s="18" t="s">
        <v>33</v>
      </c>
      <c r="E228" s="18" t="s">
        <v>17</v>
      </c>
      <c r="F228" s="18" t="s">
        <v>29</v>
      </c>
      <c r="G228" s="15">
        <v>64</v>
      </c>
      <c r="H228" s="20">
        <v>150</v>
      </c>
      <c r="I228" s="21">
        <v>9600</v>
      </c>
      <c r="J228" s="21">
        <v>117</v>
      </c>
      <c r="K228" s="21">
        <v>2112</v>
      </c>
      <c r="L228" s="30">
        <f>MT1_[[#This Row],[Profit]]/MT1_[[#This Row],[Total Sales]]</f>
        <v>0.22</v>
      </c>
    </row>
    <row r="229" spans="1:12" ht="15.6" x14ac:dyDescent="0.3">
      <c r="A229" s="15">
        <v>1229</v>
      </c>
      <c r="B229" s="14">
        <v>45301</v>
      </c>
      <c r="C229" s="18" t="s">
        <v>11</v>
      </c>
      <c r="D229" s="18" t="s">
        <v>34</v>
      </c>
      <c r="E229" s="18" t="s">
        <v>25</v>
      </c>
      <c r="F229" s="18" t="s">
        <v>27</v>
      </c>
      <c r="G229" s="15">
        <v>70</v>
      </c>
      <c r="H229" s="20">
        <v>250</v>
      </c>
      <c r="I229" s="21">
        <v>17500</v>
      </c>
      <c r="J229" s="21">
        <v>215</v>
      </c>
      <c r="K229" s="21">
        <v>2450</v>
      </c>
      <c r="L229" s="30">
        <f>MT1_[[#This Row],[Profit]]/MT1_[[#This Row],[Total Sales]]</f>
        <v>0.14000000000000001</v>
      </c>
    </row>
    <row r="230" spans="1:12" ht="15.6" x14ac:dyDescent="0.3">
      <c r="A230" s="15">
        <v>1230</v>
      </c>
      <c r="B230" s="14">
        <v>45299</v>
      </c>
      <c r="C230" s="18" t="s">
        <v>20</v>
      </c>
      <c r="D230" s="18" t="s">
        <v>12</v>
      </c>
      <c r="E230" s="18" t="s">
        <v>30</v>
      </c>
      <c r="F230" s="18" t="s">
        <v>36</v>
      </c>
      <c r="G230" s="15">
        <v>90</v>
      </c>
      <c r="H230" s="20">
        <v>150</v>
      </c>
      <c r="I230" s="21">
        <v>13500</v>
      </c>
      <c r="J230" s="21">
        <v>121.5</v>
      </c>
      <c r="K230" s="21">
        <v>2565</v>
      </c>
      <c r="L230" s="30">
        <f>MT1_[[#This Row],[Profit]]/MT1_[[#This Row],[Total Sales]]</f>
        <v>0.19</v>
      </c>
    </row>
    <row r="231" spans="1:12" ht="15.6" x14ac:dyDescent="0.3">
      <c r="A231" s="15">
        <v>1231</v>
      </c>
      <c r="B231" s="14">
        <v>45368</v>
      </c>
      <c r="C231" s="18" t="s">
        <v>15</v>
      </c>
      <c r="D231" s="18" t="s">
        <v>33</v>
      </c>
      <c r="E231" s="18" t="s">
        <v>30</v>
      </c>
      <c r="F231" s="18" t="s">
        <v>24</v>
      </c>
      <c r="G231" s="15">
        <v>39</v>
      </c>
      <c r="H231" s="20">
        <v>700</v>
      </c>
      <c r="I231" s="21">
        <v>27300</v>
      </c>
      <c r="J231" s="21">
        <v>511</v>
      </c>
      <c r="K231" s="21">
        <v>7371</v>
      </c>
      <c r="L231" s="30">
        <f>MT1_[[#This Row],[Profit]]/MT1_[[#This Row],[Total Sales]]</f>
        <v>0.27</v>
      </c>
    </row>
    <row r="232" spans="1:12" ht="15.6" x14ac:dyDescent="0.3">
      <c r="A232" s="15">
        <v>1232</v>
      </c>
      <c r="B232" s="14">
        <v>45324</v>
      </c>
      <c r="C232" s="18" t="s">
        <v>19</v>
      </c>
      <c r="D232" s="18" t="s">
        <v>16</v>
      </c>
      <c r="E232" s="18" t="s">
        <v>13</v>
      </c>
      <c r="F232" s="18" t="s">
        <v>27</v>
      </c>
      <c r="G232" s="15">
        <v>53</v>
      </c>
      <c r="H232" s="20">
        <v>30000</v>
      </c>
      <c r="I232" s="21">
        <v>1590000</v>
      </c>
      <c r="J232" s="21">
        <v>24300</v>
      </c>
      <c r="K232" s="21">
        <v>302100</v>
      </c>
      <c r="L232" s="30">
        <f>MT1_[[#This Row],[Profit]]/MT1_[[#This Row],[Total Sales]]</f>
        <v>0.19</v>
      </c>
    </row>
    <row r="233" spans="1:12" ht="15.6" x14ac:dyDescent="0.3">
      <c r="A233" s="15">
        <v>1233</v>
      </c>
      <c r="B233" s="14">
        <v>45357</v>
      </c>
      <c r="C233" s="18" t="s">
        <v>19</v>
      </c>
      <c r="D233" s="18" t="s">
        <v>33</v>
      </c>
      <c r="E233" s="18" t="s">
        <v>13</v>
      </c>
      <c r="F233" s="18" t="s">
        <v>36</v>
      </c>
      <c r="G233" s="15">
        <v>32</v>
      </c>
      <c r="H233" s="20">
        <v>1200</v>
      </c>
      <c r="I233" s="21">
        <v>38400</v>
      </c>
      <c r="J233" s="21">
        <v>972</v>
      </c>
      <c r="K233" s="21">
        <v>7296</v>
      </c>
      <c r="L233" s="30">
        <f>MT1_[[#This Row],[Profit]]/MT1_[[#This Row],[Total Sales]]</f>
        <v>0.19</v>
      </c>
    </row>
    <row r="234" spans="1:12" ht="15.6" x14ac:dyDescent="0.3">
      <c r="A234" s="15">
        <v>1234</v>
      </c>
      <c r="B234" s="14">
        <v>45302</v>
      </c>
      <c r="C234" s="18" t="s">
        <v>15</v>
      </c>
      <c r="D234" s="18" t="s">
        <v>33</v>
      </c>
      <c r="E234" s="18" t="s">
        <v>13</v>
      </c>
      <c r="F234" s="18" t="s">
        <v>29</v>
      </c>
      <c r="G234" s="15">
        <v>21</v>
      </c>
      <c r="H234" s="20">
        <v>15000</v>
      </c>
      <c r="I234" s="21">
        <v>315000</v>
      </c>
      <c r="J234" s="21">
        <v>12150</v>
      </c>
      <c r="K234" s="21">
        <v>59850</v>
      </c>
      <c r="L234" s="30">
        <f>MT1_[[#This Row],[Profit]]/MT1_[[#This Row],[Total Sales]]</f>
        <v>0.19</v>
      </c>
    </row>
    <row r="235" spans="1:12" ht="15.6" x14ac:dyDescent="0.3">
      <c r="A235" s="15">
        <v>1235</v>
      </c>
      <c r="B235" s="14">
        <v>45356</v>
      </c>
      <c r="C235" s="18" t="s">
        <v>20</v>
      </c>
      <c r="D235" s="18" t="s">
        <v>12</v>
      </c>
      <c r="E235" s="18" t="s">
        <v>28</v>
      </c>
      <c r="F235" s="18" t="s">
        <v>27</v>
      </c>
      <c r="G235" s="15">
        <v>62</v>
      </c>
      <c r="H235" s="20">
        <v>30000</v>
      </c>
      <c r="I235" s="21">
        <v>1860000</v>
      </c>
      <c r="J235" s="21">
        <v>21000</v>
      </c>
      <c r="K235" s="21">
        <v>558000</v>
      </c>
      <c r="L235" s="30">
        <f>MT1_[[#This Row],[Profit]]/MT1_[[#This Row],[Total Sales]]</f>
        <v>0.3</v>
      </c>
    </row>
    <row r="236" spans="1:12" ht="15.6" x14ac:dyDescent="0.3">
      <c r="A236" s="15">
        <v>1236</v>
      </c>
      <c r="B236" s="14">
        <v>45306</v>
      </c>
      <c r="C236" s="18" t="s">
        <v>20</v>
      </c>
      <c r="D236" s="18" t="s">
        <v>32</v>
      </c>
      <c r="E236" s="18" t="s">
        <v>30</v>
      </c>
      <c r="F236" s="18" t="s">
        <v>29</v>
      </c>
      <c r="G236" s="15">
        <v>49</v>
      </c>
      <c r="H236" s="20">
        <v>30000</v>
      </c>
      <c r="I236" s="21">
        <v>1470000</v>
      </c>
      <c r="J236" s="21">
        <v>21000</v>
      </c>
      <c r="K236" s="21">
        <v>441000</v>
      </c>
      <c r="L236" s="30">
        <f>MT1_[[#This Row],[Profit]]/MT1_[[#This Row],[Total Sales]]</f>
        <v>0.3</v>
      </c>
    </row>
    <row r="237" spans="1:12" ht="15.6" x14ac:dyDescent="0.3">
      <c r="A237" s="15">
        <v>1237</v>
      </c>
      <c r="B237" s="14">
        <v>45294</v>
      </c>
      <c r="C237" s="18" t="s">
        <v>19</v>
      </c>
      <c r="D237" s="18" t="s">
        <v>12</v>
      </c>
      <c r="E237" s="18" t="s">
        <v>30</v>
      </c>
      <c r="F237" s="18" t="s">
        <v>36</v>
      </c>
      <c r="G237" s="15">
        <v>18</v>
      </c>
      <c r="H237" s="20">
        <v>15000</v>
      </c>
      <c r="I237" s="21">
        <v>270000</v>
      </c>
      <c r="J237" s="21">
        <v>12150</v>
      </c>
      <c r="K237" s="21">
        <v>51300</v>
      </c>
      <c r="L237" s="30">
        <f>MT1_[[#This Row],[Profit]]/MT1_[[#This Row],[Total Sales]]</f>
        <v>0.19</v>
      </c>
    </row>
    <row r="238" spans="1:12" ht="15.6" x14ac:dyDescent="0.3">
      <c r="A238" s="15">
        <v>1238</v>
      </c>
      <c r="B238" s="14">
        <v>45364</v>
      </c>
      <c r="C238" s="18" t="s">
        <v>11</v>
      </c>
      <c r="D238" s="18" t="s">
        <v>12</v>
      </c>
      <c r="E238" s="18" t="s">
        <v>28</v>
      </c>
      <c r="F238" s="18" t="s">
        <v>27</v>
      </c>
      <c r="G238" s="15">
        <v>57</v>
      </c>
      <c r="H238" s="20">
        <v>1200</v>
      </c>
      <c r="I238" s="21">
        <v>68400</v>
      </c>
      <c r="J238" s="21">
        <v>936</v>
      </c>
      <c r="K238" s="21">
        <v>15048</v>
      </c>
      <c r="L238" s="30">
        <f>MT1_[[#This Row],[Profit]]/MT1_[[#This Row],[Total Sales]]</f>
        <v>0.22</v>
      </c>
    </row>
    <row r="239" spans="1:12" ht="15.6" x14ac:dyDescent="0.3">
      <c r="A239" s="15">
        <v>1239</v>
      </c>
      <c r="B239" s="14">
        <v>45379</v>
      </c>
      <c r="C239" s="18" t="s">
        <v>15</v>
      </c>
      <c r="D239" s="18" t="s">
        <v>12</v>
      </c>
      <c r="E239" s="18" t="s">
        <v>13</v>
      </c>
      <c r="F239" s="18" t="s">
        <v>27</v>
      </c>
      <c r="G239" s="15">
        <v>97</v>
      </c>
      <c r="H239" s="20">
        <v>700</v>
      </c>
      <c r="I239" s="21">
        <v>67900</v>
      </c>
      <c r="J239" s="21">
        <v>609</v>
      </c>
      <c r="K239" s="21">
        <v>8827</v>
      </c>
      <c r="L239" s="30">
        <f>MT1_[[#This Row],[Profit]]/MT1_[[#This Row],[Total Sales]]</f>
        <v>0.13</v>
      </c>
    </row>
    <row r="240" spans="1:12" ht="15.6" x14ac:dyDescent="0.3">
      <c r="A240" s="15">
        <v>1240</v>
      </c>
      <c r="B240" s="14">
        <v>45344</v>
      </c>
      <c r="C240" s="18" t="s">
        <v>20</v>
      </c>
      <c r="D240" s="18" t="s">
        <v>34</v>
      </c>
      <c r="E240" s="18" t="s">
        <v>13</v>
      </c>
      <c r="F240" s="18" t="s">
        <v>18</v>
      </c>
      <c r="G240" s="15">
        <v>39</v>
      </c>
      <c r="H240" s="20">
        <v>30000</v>
      </c>
      <c r="I240" s="21">
        <v>1170000</v>
      </c>
      <c r="J240" s="21">
        <v>24900</v>
      </c>
      <c r="K240" s="21">
        <v>198900</v>
      </c>
      <c r="L240" s="30">
        <f>MT1_[[#This Row],[Profit]]/MT1_[[#This Row],[Total Sales]]</f>
        <v>0.17</v>
      </c>
    </row>
    <row r="241" spans="1:12" ht="15.6" x14ac:dyDescent="0.3">
      <c r="A241" s="15">
        <v>1241</v>
      </c>
      <c r="B241" s="14">
        <v>45324</v>
      </c>
      <c r="C241" s="18" t="s">
        <v>11</v>
      </c>
      <c r="D241" s="18" t="s">
        <v>32</v>
      </c>
      <c r="E241" s="18" t="s">
        <v>30</v>
      </c>
      <c r="F241" s="18" t="s">
        <v>36</v>
      </c>
      <c r="G241" s="15">
        <v>30</v>
      </c>
      <c r="H241" s="20">
        <v>250</v>
      </c>
      <c r="I241" s="21">
        <v>7500</v>
      </c>
      <c r="J241" s="21">
        <v>202.5</v>
      </c>
      <c r="K241" s="21">
        <v>1425</v>
      </c>
      <c r="L241" s="30">
        <f>MT1_[[#This Row],[Profit]]/MT1_[[#This Row],[Total Sales]]</f>
        <v>0.19</v>
      </c>
    </row>
    <row r="242" spans="1:12" ht="15.6" x14ac:dyDescent="0.3">
      <c r="A242" s="15">
        <v>1242</v>
      </c>
      <c r="B242" s="14">
        <v>45307</v>
      </c>
      <c r="C242" s="18" t="s">
        <v>20</v>
      </c>
      <c r="D242" s="18" t="s">
        <v>16</v>
      </c>
      <c r="E242" s="18" t="s">
        <v>17</v>
      </c>
      <c r="F242" s="18" t="s">
        <v>14</v>
      </c>
      <c r="G242" s="15">
        <v>32</v>
      </c>
      <c r="H242" s="20">
        <v>900</v>
      </c>
      <c r="I242" s="21">
        <v>28800</v>
      </c>
      <c r="J242" s="21">
        <v>684</v>
      </c>
      <c r="K242" s="21">
        <v>6912</v>
      </c>
      <c r="L242" s="30">
        <f>MT1_[[#This Row],[Profit]]/MT1_[[#This Row],[Total Sales]]</f>
        <v>0.24</v>
      </c>
    </row>
    <row r="243" spans="1:12" ht="15.6" x14ac:dyDescent="0.3">
      <c r="A243" s="15">
        <v>1243</v>
      </c>
      <c r="B243" s="14">
        <v>45351</v>
      </c>
      <c r="C243" s="18" t="s">
        <v>15</v>
      </c>
      <c r="D243" s="18" t="s">
        <v>33</v>
      </c>
      <c r="E243" s="18" t="s">
        <v>13</v>
      </c>
      <c r="F243" s="18" t="s">
        <v>23</v>
      </c>
      <c r="G243" s="15">
        <v>37</v>
      </c>
      <c r="H243" s="20">
        <v>250</v>
      </c>
      <c r="I243" s="21">
        <v>9250</v>
      </c>
      <c r="J243" s="21">
        <v>205</v>
      </c>
      <c r="K243" s="21">
        <v>1665</v>
      </c>
      <c r="L243" s="30">
        <f>MT1_[[#This Row],[Profit]]/MT1_[[#This Row],[Total Sales]]</f>
        <v>0.18</v>
      </c>
    </row>
    <row r="244" spans="1:12" ht="15.6" x14ac:dyDescent="0.3">
      <c r="A244" s="15">
        <v>1244</v>
      </c>
      <c r="B244" s="14">
        <v>45336</v>
      </c>
      <c r="C244" s="18" t="s">
        <v>19</v>
      </c>
      <c r="D244" s="18" t="s">
        <v>16</v>
      </c>
      <c r="E244" s="18" t="s">
        <v>25</v>
      </c>
      <c r="F244" s="18" t="s">
        <v>35</v>
      </c>
      <c r="G244" s="15">
        <v>21</v>
      </c>
      <c r="H244" s="20">
        <v>500</v>
      </c>
      <c r="I244" s="21">
        <v>10500</v>
      </c>
      <c r="J244" s="21">
        <v>410</v>
      </c>
      <c r="K244" s="21">
        <v>1890</v>
      </c>
      <c r="L244" s="30">
        <f>MT1_[[#This Row],[Profit]]/MT1_[[#This Row],[Total Sales]]</f>
        <v>0.18</v>
      </c>
    </row>
    <row r="245" spans="1:12" ht="15.6" x14ac:dyDescent="0.3">
      <c r="A245" s="15">
        <v>1245</v>
      </c>
      <c r="B245" s="14">
        <v>45302</v>
      </c>
      <c r="C245" s="18" t="s">
        <v>21</v>
      </c>
      <c r="D245" s="18" t="s">
        <v>34</v>
      </c>
      <c r="E245" s="18" t="s">
        <v>30</v>
      </c>
      <c r="F245" s="18" t="s">
        <v>29</v>
      </c>
      <c r="G245" s="15">
        <v>20</v>
      </c>
      <c r="H245" s="20">
        <v>150</v>
      </c>
      <c r="I245" s="21">
        <v>3000</v>
      </c>
      <c r="J245" s="21">
        <v>126</v>
      </c>
      <c r="K245" s="21">
        <v>480</v>
      </c>
      <c r="L245" s="30">
        <f>MT1_[[#This Row],[Profit]]/MT1_[[#This Row],[Total Sales]]</f>
        <v>0.16</v>
      </c>
    </row>
    <row r="246" spans="1:12" ht="15.6" x14ac:dyDescent="0.3">
      <c r="A246" s="15">
        <v>1246</v>
      </c>
      <c r="B246" s="14">
        <v>45378</v>
      </c>
      <c r="C246" s="18" t="s">
        <v>20</v>
      </c>
      <c r="D246" s="18" t="s">
        <v>12</v>
      </c>
      <c r="E246" s="18" t="s">
        <v>30</v>
      </c>
      <c r="F246" s="18" t="s">
        <v>31</v>
      </c>
      <c r="G246" s="15">
        <v>3</v>
      </c>
      <c r="H246" s="20">
        <v>50</v>
      </c>
      <c r="I246" s="21">
        <v>150</v>
      </c>
      <c r="J246" s="21">
        <v>35.5</v>
      </c>
      <c r="K246" s="21">
        <v>43.5</v>
      </c>
      <c r="L246" s="30">
        <f>MT1_[[#This Row],[Profit]]/MT1_[[#This Row],[Total Sales]]</f>
        <v>0.28999999999999998</v>
      </c>
    </row>
    <row r="247" spans="1:12" ht="15.6" x14ac:dyDescent="0.3">
      <c r="A247" s="15">
        <v>1247</v>
      </c>
      <c r="B247" s="14">
        <v>45334</v>
      </c>
      <c r="C247" s="18" t="s">
        <v>21</v>
      </c>
      <c r="D247" s="18" t="s">
        <v>33</v>
      </c>
      <c r="E247" s="18" t="s">
        <v>13</v>
      </c>
      <c r="F247" s="18" t="s">
        <v>14</v>
      </c>
      <c r="G247" s="15">
        <v>35</v>
      </c>
      <c r="H247" s="20">
        <v>1200</v>
      </c>
      <c r="I247" s="21">
        <v>42000</v>
      </c>
      <c r="J247" s="21">
        <v>948</v>
      </c>
      <c r="K247" s="21">
        <v>8820</v>
      </c>
      <c r="L247" s="30">
        <f>MT1_[[#This Row],[Profit]]/MT1_[[#This Row],[Total Sales]]</f>
        <v>0.21</v>
      </c>
    </row>
    <row r="248" spans="1:12" ht="15.6" x14ac:dyDescent="0.3">
      <c r="A248" s="15">
        <v>1248</v>
      </c>
      <c r="B248" s="14">
        <v>45381</v>
      </c>
      <c r="C248" s="18" t="s">
        <v>21</v>
      </c>
      <c r="D248" s="18" t="s">
        <v>32</v>
      </c>
      <c r="E248" s="18" t="s">
        <v>28</v>
      </c>
      <c r="F248" s="18" t="s">
        <v>18</v>
      </c>
      <c r="G248" s="15">
        <v>11</v>
      </c>
      <c r="H248" s="20">
        <v>150</v>
      </c>
      <c r="I248" s="21">
        <v>1650</v>
      </c>
      <c r="J248" s="21">
        <v>108</v>
      </c>
      <c r="K248" s="21">
        <v>462</v>
      </c>
      <c r="L248" s="30">
        <f>MT1_[[#This Row],[Profit]]/MT1_[[#This Row],[Total Sales]]</f>
        <v>0.28000000000000003</v>
      </c>
    </row>
    <row r="249" spans="1:12" ht="15.6" x14ac:dyDescent="0.3">
      <c r="A249" s="15">
        <v>1249</v>
      </c>
      <c r="B249" s="14">
        <v>45343</v>
      </c>
      <c r="C249" s="18" t="s">
        <v>11</v>
      </c>
      <c r="D249" s="18" t="s">
        <v>12</v>
      </c>
      <c r="E249" s="18" t="s">
        <v>28</v>
      </c>
      <c r="F249" s="18" t="s">
        <v>31</v>
      </c>
      <c r="G249" s="15">
        <v>74</v>
      </c>
      <c r="H249" s="20">
        <v>300</v>
      </c>
      <c r="I249" s="21">
        <v>22200</v>
      </c>
      <c r="J249" s="21">
        <v>225</v>
      </c>
      <c r="K249" s="21">
        <v>5550</v>
      </c>
      <c r="L249" s="30">
        <f>MT1_[[#This Row],[Profit]]/MT1_[[#This Row],[Total Sales]]</f>
        <v>0.25</v>
      </c>
    </row>
    <row r="250" spans="1:12" ht="15.6" x14ac:dyDescent="0.3">
      <c r="A250" s="15">
        <v>1250</v>
      </c>
      <c r="B250" s="14">
        <v>45358</v>
      </c>
      <c r="C250" s="18" t="s">
        <v>11</v>
      </c>
      <c r="D250" s="18" t="s">
        <v>16</v>
      </c>
      <c r="E250" s="18" t="s">
        <v>13</v>
      </c>
      <c r="F250" s="18" t="s">
        <v>36</v>
      </c>
      <c r="G250" s="15">
        <v>16</v>
      </c>
      <c r="H250" s="20">
        <v>50</v>
      </c>
      <c r="I250" s="21">
        <v>800</v>
      </c>
      <c r="J250" s="21">
        <v>40</v>
      </c>
      <c r="K250" s="21">
        <v>160</v>
      </c>
      <c r="L250" s="30">
        <f>MT1_[[#This Row],[Profit]]/MT1_[[#This Row],[Total Sales]]</f>
        <v>0.2</v>
      </c>
    </row>
    <row r="251" spans="1:12" ht="15.6" x14ac:dyDescent="0.3">
      <c r="A251" s="15">
        <v>1251</v>
      </c>
      <c r="B251" s="14">
        <v>45352</v>
      </c>
      <c r="C251" s="18" t="s">
        <v>11</v>
      </c>
      <c r="D251" s="18" t="s">
        <v>16</v>
      </c>
      <c r="E251" s="18" t="s">
        <v>13</v>
      </c>
      <c r="F251" s="18" t="s">
        <v>23</v>
      </c>
      <c r="G251" s="15">
        <v>58</v>
      </c>
      <c r="H251" s="20">
        <v>30000</v>
      </c>
      <c r="I251" s="21">
        <v>1740000</v>
      </c>
      <c r="J251" s="21">
        <v>25800</v>
      </c>
      <c r="K251" s="21">
        <v>243600</v>
      </c>
      <c r="L251" s="30">
        <f>MT1_[[#This Row],[Profit]]/MT1_[[#This Row],[Total Sales]]</f>
        <v>0.14000000000000001</v>
      </c>
    </row>
    <row r="252" spans="1:12" ht="15.6" x14ac:dyDescent="0.3">
      <c r="A252" s="15">
        <v>1252</v>
      </c>
      <c r="B252" s="14">
        <v>45328</v>
      </c>
      <c r="C252" s="18" t="s">
        <v>20</v>
      </c>
      <c r="D252" s="18" t="s">
        <v>33</v>
      </c>
      <c r="E252" s="18" t="s">
        <v>28</v>
      </c>
      <c r="F252" s="18" t="s">
        <v>36</v>
      </c>
      <c r="G252" s="15">
        <v>89</v>
      </c>
      <c r="H252" s="20">
        <v>15000</v>
      </c>
      <c r="I252" s="21">
        <v>1335000</v>
      </c>
      <c r="J252" s="21">
        <v>11850</v>
      </c>
      <c r="K252" s="21">
        <v>280350</v>
      </c>
      <c r="L252" s="30">
        <f>MT1_[[#This Row],[Profit]]/MT1_[[#This Row],[Total Sales]]</f>
        <v>0.21</v>
      </c>
    </row>
    <row r="253" spans="1:12" ht="15.6" x14ac:dyDescent="0.3">
      <c r="A253" s="15">
        <v>1253</v>
      </c>
      <c r="B253" s="14">
        <v>45367</v>
      </c>
      <c r="C253" s="18" t="s">
        <v>20</v>
      </c>
      <c r="D253" s="18" t="s">
        <v>12</v>
      </c>
      <c r="E253" s="18" t="s">
        <v>30</v>
      </c>
      <c r="F253" s="18" t="s">
        <v>14</v>
      </c>
      <c r="G253" s="15">
        <v>67</v>
      </c>
      <c r="H253" s="20">
        <v>1200</v>
      </c>
      <c r="I253" s="21">
        <v>80400</v>
      </c>
      <c r="J253" s="21">
        <v>1032</v>
      </c>
      <c r="K253" s="21">
        <v>11256</v>
      </c>
      <c r="L253" s="30">
        <f>MT1_[[#This Row],[Profit]]/MT1_[[#This Row],[Total Sales]]</f>
        <v>0.14000000000000001</v>
      </c>
    </row>
    <row r="254" spans="1:12" ht="15.6" x14ac:dyDescent="0.3">
      <c r="A254" s="15">
        <v>1254</v>
      </c>
      <c r="B254" s="14">
        <v>45379</v>
      </c>
      <c r="C254" s="18" t="s">
        <v>11</v>
      </c>
      <c r="D254" s="18" t="s">
        <v>33</v>
      </c>
      <c r="E254" s="18" t="s">
        <v>28</v>
      </c>
      <c r="F254" s="18" t="s">
        <v>27</v>
      </c>
      <c r="G254" s="15">
        <v>36</v>
      </c>
      <c r="H254" s="20">
        <v>700</v>
      </c>
      <c r="I254" s="21">
        <v>25200</v>
      </c>
      <c r="J254" s="21">
        <v>574</v>
      </c>
      <c r="K254" s="21">
        <v>4536</v>
      </c>
      <c r="L254" s="30">
        <f>MT1_[[#This Row],[Profit]]/MT1_[[#This Row],[Total Sales]]</f>
        <v>0.18</v>
      </c>
    </row>
    <row r="255" spans="1:12" ht="15.6" x14ac:dyDescent="0.3">
      <c r="A255" s="15">
        <v>1255</v>
      </c>
      <c r="B255" s="14">
        <v>45364</v>
      </c>
      <c r="C255" s="18" t="s">
        <v>15</v>
      </c>
      <c r="D255" s="18" t="s">
        <v>16</v>
      </c>
      <c r="E255" s="18" t="s">
        <v>28</v>
      </c>
      <c r="F255" s="18" t="s">
        <v>36</v>
      </c>
      <c r="G255" s="15">
        <v>45</v>
      </c>
      <c r="H255" s="20">
        <v>1200</v>
      </c>
      <c r="I255" s="21">
        <v>54000</v>
      </c>
      <c r="J255" s="21">
        <v>1008</v>
      </c>
      <c r="K255" s="21">
        <v>8640</v>
      </c>
      <c r="L255" s="30">
        <f>MT1_[[#This Row],[Profit]]/MT1_[[#This Row],[Total Sales]]</f>
        <v>0.16</v>
      </c>
    </row>
    <row r="256" spans="1:12" ht="15.6" x14ac:dyDescent="0.3">
      <c r="A256" s="15">
        <v>1256</v>
      </c>
      <c r="B256" s="14">
        <v>45315</v>
      </c>
      <c r="C256" s="18" t="s">
        <v>11</v>
      </c>
      <c r="D256" s="18" t="s">
        <v>33</v>
      </c>
      <c r="E256" s="18" t="s">
        <v>13</v>
      </c>
      <c r="F256" s="18" t="s">
        <v>23</v>
      </c>
      <c r="G256" s="15">
        <v>77</v>
      </c>
      <c r="H256" s="20">
        <v>900</v>
      </c>
      <c r="I256" s="21">
        <v>69300</v>
      </c>
      <c r="J256" s="21">
        <v>711</v>
      </c>
      <c r="K256" s="21">
        <v>14553</v>
      </c>
      <c r="L256" s="30">
        <f>MT1_[[#This Row],[Profit]]/MT1_[[#This Row],[Total Sales]]</f>
        <v>0.21</v>
      </c>
    </row>
    <row r="257" spans="1:12" ht="15.6" x14ac:dyDescent="0.3">
      <c r="A257" s="15">
        <v>1257</v>
      </c>
      <c r="B257" s="14">
        <v>45376</v>
      </c>
      <c r="C257" s="18" t="s">
        <v>15</v>
      </c>
      <c r="D257" s="18" t="s">
        <v>16</v>
      </c>
      <c r="E257" s="18" t="s">
        <v>28</v>
      </c>
      <c r="F257" s="18" t="s">
        <v>24</v>
      </c>
      <c r="G257" s="15">
        <v>52</v>
      </c>
      <c r="H257" s="20">
        <v>700</v>
      </c>
      <c r="I257" s="21">
        <v>36400</v>
      </c>
      <c r="J257" s="21">
        <v>518</v>
      </c>
      <c r="K257" s="21">
        <v>9464</v>
      </c>
      <c r="L257" s="30">
        <f>MT1_[[#This Row],[Profit]]/MT1_[[#This Row],[Total Sales]]</f>
        <v>0.26</v>
      </c>
    </row>
    <row r="258" spans="1:12" ht="15.6" x14ac:dyDescent="0.3">
      <c r="A258" s="15">
        <v>1258</v>
      </c>
      <c r="B258" s="14">
        <v>45357</v>
      </c>
      <c r="C258" s="18" t="s">
        <v>20</v>
      </c>
      <c r="D258" s="18" t="s">
        <v>12</v>
      </c>
      <c r="E258" s="18" t="s">
        <v>30</v>
      </c>
      <c r="F258" s="18" t="s">
        <v>27</v>
      </c>
      <c r="G258" s="15">
        <v>5</v>
      </c>
      <c r="H258" s="20">
        <v>15000</v>
      </c>
      <c r="I258" s="21">
        <v>75000</v>
      </c>
      <c r="J258" s="21">
        <v>13350</v>
      </c>
      <c r="K258" s="21">
        <v>8250</v>
      </c>
      <c r="L258" s="30">
        <f>MT1_[[#This Row],[Profit]]/MT1_[[#This Row],[Total Sales]]</f>
        <v>0.11</v>
      </c>
    </row>
    <row r="259" spans="1:12" ht="15.6" x14ac:dyDescent="0.3">
      <c r="A259" s="15">
        <v>1259</v>
      </c>
      <c r="B259" s="14">
        <v>45358</v>
      </c>
      <c r="C259" s="18" t="s">
        <v>11</v>
      </c>
      <c r="D259" s="18" t="s">
        <v>12</v>
      </c>
      <c r="E259" s="18" t="s">
        <v>28</v>
      </c>
      <c r="F259" s="18" t="s">
        <v>24</v>
      </c>
      <c r="G259" s="15">
        <v>17</v>
      </c>
      <c r="H259" s="20">
        <v>500</v>
      </c>
      <c r="I259" s="21">
        <v>8500</v>
      </c>
      <c r="J259" s="21">
        <v>440</v>
      </c>
      <c r="K259" s="21">
        <v>1020</v>
      </c>
      <c r="L259" s="30">
        <f>MT1_[[#This Row],[Profit]]/MT1_[[#This Row],[Total Sales]]</f>
        <v>0.12</v>
      </c>
    </row>
    <row r="260" spans="1:12" ht="15.6" x14ac:dyDescent="0.3">
      <c r="A260" s="15">
        <v>1260</v>
      </c>
      <c r="B260" s="14">
        <v>45361</v>
      </c>
      <c r="C260" s="18" t="s">
        <v>11</v>
      </c>
      <c r="D260" s="18" t="s">
        <v>16</v>
      </c>
      <c r="E260" s="18" t="s">
        <v>28</v>
      </c>
      <c r="F260" s="18" t="s">
        <v>36</v>
      </c>
      <c r="G260" s="15">
        <v>30</v>
      </c>
      <c r="H260" s="20">
        <v>50</v>
      </c>
      <c r="I260" s="21">
        <v>1500</v>
      </c>
      <c r="J260" s="21">
        <v>35.5</v>
      </c>
      <c r="K260" s="21">
        <v>435</v>
      </c>
      <c r="L260" s="30">
        <f>MT1_[[#This Row],[Profit]]/MT1_[[#This Row],[Total Sales]]</f>
        <v>0.28999999999999998</v>
      </c>
    </row>
    <row r="261" spans="1:12" ht="15.6" x14ac:dyDescent="0.3">
      <c r="A261" s="15">
        <v>1261</v>
      </c>
      <c r="B261" s="14">
        <v>45346</v>
      </c>
      <c r="C261" s="18" t="s">
        <v>11</v>
      </c>
      <c r="D261" s="18" t="s">
        <v>16</v>
      </c>
      <c r="E261" s="18" t="s">
        <v>25</v>
      </c>
      <c r="F261" s="18" t="s">
        <v>35</v>
      </c>
      <c r="G261" s="15">
        <v>75</v>
      </c>
      <c r="H261" s="20">
        <v>500</v>
      </c>
      <c r="I261" s="21">
        <v>37500</v>
      </c>
      <c r="J261" s="21">
        <v>375</v>
      </c>
      <c r="K261" s="21">
        <v>9375</v>
      </c>
      <c r="L261" s="30">
        <f>MT1_[[#This Row],[Profit]]/MT1_[[#This Row],[Total Sales]]</f>
        <v>0.25</v>
      </c>
    </row>
    <row r="262" spans="1:12" ht="15.6" x14ac:dyDescent="0.3">
      <c r="A262" s="15">
        <v>1262</v>
      </c>
      <c r="B262" s="14">
        <v>45305</v>
      </c>
      <c r="C262" s="18" t="s">
        <v>11</v>
      </c>
      <c r="D262" s="18" t="s">
        <v>32</v>
      </c>
      <c r="E262" s="18" t="s">
        <v>17</v>
      </c>
      <c r="F262" s="18" t="s">
        <v>23</v>
      </c>
      <c r="G262" s="15">
        <v>19</v>
      </c>
      <c r="H262" s="20">
        <v>300</v>
      </c>
      <c r="I262" s="21">
        <v>5700</v>
      </c>
      <c r="J262" s="21">
        <v>222</v>
      </c>
      <c r="K262" s="21">
        <v>1482</v>
      </c>
      <c r="L262" s="30">
        <f>MT1_[[#This Row],[Profit]]/MT1_[[#This Row],[Total Sales]]</f>
        <v>0.26</v>
      </c>
    </row>
    <row r="263" spans="1:12" ht="15.6" x14ac:dyDescent="0.3">
      <c r="A263" s="15">
        <v>1263</v>
      </c>
      <c r="B263" s="14">
        <v>45320</v>
      </c>
      <c r="C263" s="18" t="s">
        <v>19</v>
      </c>
      <c r="D263" s="18" t="s">
        <v>16</v>
      </c>
      <c r="E263" s="18" t="s">
        <v>28</v>
      </c>
      <c r="F263" s="18" t="s">
        <v>35</v>
      </c>
      <c r="G263" s="15">
        <v>87</v>
      </c>
      <c r="H263" s="20">
        <v>700</v>
      </c>
      <c r="I263" s="21">
        <v>60900</v>
      </c>
      <c r="J263" s="21">
        <v>602</v>
      </c>
      <c r="K263" s="21">
        <v>8526</v>
      </c>
      <c r="L263" s="30">
        <f>MT1_[[#This Row],[Profit]]/MT1_[[#This Row],[Total Sales]]</f>
        <v>0.14000000000000001</v>
      </c>
    </row>
    <row r="264" spans="1:12" ht="15.6" x14ac:dyDescent="0.3">
      <c r="A264" s="15">
        <v>1264</v>
      </c>
      <c r="B264" s="14">
        <v>45365</v>
      </c>
      <c r="C264" s="18" t="s">
        <v>21</v>
      </c>
      <c r="D264" s="18" t="s">
        <v>33</v>
      </c>
      <c r="E264" s="18" t="s">
        <v>13</v>
      </c>
      <c r="F264" s="18" t="s">
        <v>14</v>
      </c>
      <c r="G264" s="15">
        <v>44</v>
      </c>
      <c r="H264" s="20">
        <v>700</v>
      </c>
      <c r="I264" s="21">
        <v>30800</v>
      </c>
      <c r="J264" s="21">
        <v>518</v>
      </c>
      <c r="K264" s="21">
        <v>8008</v>
      </c>
      <c r="L264" s="30">
        <f>MT1_[[#This Row],[Profit]]/MT1_[[#This Row],[Total Sales]]</f>
        <v>0.26</v>
      </c>
    </row>
    <row r="265" spans="1:12" ht="15.6" x14ac:dyDescent="0.3">
      <c r="A265" s="15">
        <v>1265</v>
      </c>
      <c r="B265" s="14">
        <v>45318</v>
      </c>
      <c r="C265" s="18" t="s">
        <v>20</v>
      </c>
      <c r="D265" s="18" t="s">
        <v>16</v>
      </c>
      <c r="E265" s="18" t="s">
        <v>13</v>
      </c>
      <c r="F265" s="18" t="s">
        <v>29</v>
      </c>
      <c r="G265" s="15">
        <v>52</v>
      </c>
      <c r="H265" s="20">
        <v>150</v>
      </c>
      <c r="I265" s="21">
        <v>7800</v>
      </c>
      <c r="J265" s="21">
        <v>127.5</v>
      </c>
      <c r="K265" s="21">
        <v>1170</v>
      </c>
      <c r="L265" s="30">
        <f>MT1_[[#This Row],[Profit]]/MT1_[[#This Row],[Total Sales]]</f>
        <v>0.15</v>
      </c>
    </row>
    <row r="266" spans="1:12" ht="15.6" x14ac:dyDescent="0.3">
      <c r="A266" s="15">
        <v>1266</v>
      </c>
      <c r="B266" s="14">
        <v>45293</v>
      </c>
      <c r="C266" s="18" t="s">
        <v>11</v>
      </c>
      <c r="D266" s="18" t="s">
        <v>34</v>
      </c>
      <c r="E266" s="18" t="s">
        <v>30</v>
      </c>
      <c r="F266" s="18" t="s">
        <v>35</v>
      </c>
      <c r="G266" s="15">
        <v>76</v>
      </c>
      <c r="H266" s="20">
        <v>15000</v>
      </c>
      <c r="I266" s="21">
        <v>1140000</v>
      </c>
      <c r="J266" s="21">
        <v>12150</v>
      </c>
      <c r="K266" s="21">
        <v>216600</v>
      </c>
      <c r="L266" s="30">
        <f>MT1_[[#This Row],[Profit]]/MT1_[[#This Row],[Total Sales]]</f>
        <v>0.19</v>
      </c>
    </row>
    <row r="267" spans="1:12" ht="15.6" x14ac:dyDescent="0.3">
      <c r="A267" s="15">
        <v>1267</v>
      </c>
      <c r="B267" s="14">
        <v>45375</v>
      </c>
      <c r="C267" s="18" t="s">
        <v>15</v>
      </c>
      <c r="D267" s="18" t="s">
        <v>16</v>
      </c>
      <c r="E267" s="18" t="s">
        <v>17</v>
      </c>
      <c r="F267" s="18" t="s">
        <v>35</v>
      </c>
      <c r="G267" s="15">
        <v>82</v>
      </c>
      <c r="H267" s="20">
        <v>1200</v>
      </c>
      <c r="I267" s="21">
        <v>98400</v>
      </c>
      <c r="J267" s="21">
        <v>1080</v>
      </c>
      <c r="K267" s="21">
        <v>9840</v>
      </c>
      <c r="L267" s="30">
        <f>MT1_[[#This Row],[Profit]]/MT1_[[#This Row],[Total Sales]]</f>
        <v>0.1</v>
      </c>
    </row>
    <row r="268" spans="1:12" ht="15.6" x14ac:dyDescent="0.3">
      <c r="A268" s="15">
        <v>1268</v>
      </c>
      <c r="B268" s="14">
        <v>45313</v>
      </c>
      <c r="C268" s="18" t="s">
        <v>20</v>
      </c>
      <c r="D268" s="18" t="s">
        <v>12</v>
      </c>
      <c r="E268" s="18" t="s">
        <v>28</v>
      </c>
      <c r="F268" s="18" t="s">
        <v>27</v>
      </c>
      <c r="G268" s="15">
        <v>70</v>
      </c>
      <c r="H268" s="20">
        <v>700</v>
      </c>
      <c r="I268" s="21">
        <v>49000</v>
      </c>
      <c r="J268" s="21">
        <v>560</v>
      </c>
      <c r="K268" s="21">
        <v>9800</v>
      </c>
      <c r="L268" s="30">
        <f>MT1_[[#This Row],[Profit]]/MT1_[[#This Row],[Total Sales]]</f>
        <v>0.2</v>
      </c>
    </row>
    <row r="269" spans="1:12" ht="15.6" x14ac:dyDescent="0.3">
      <c r="A269" s="15">
        <v>1269</v>
      </c>
      <c r="B269" s="14">
        <v>45354</v>
      </c>
      <c r="C269" s="18" t="s">
        <v>21</v>
      </c>
      <c r="D269" s="18" t="s">
        <v>32</v>
      </c>
      <c r="E269" s="18" t="s">
        <v>13</v>
      </c>
      <c r="F269" s="18" t="s">
        <v>27</v>
      </c>
      <c r="G269" s="15">
        <v>21</v>
      </c>
      <c r="H269" s="20">
        <v>300</v>
      </c>
      <c r="I269" s="21">
        <v>6300</v>
      </c>
      <c r="J269" s="21">
        <v>222</v>
      </c>
      <c r="K269" s="21">
        <v>1638</v>
      </c>
      <c r="L269" s="30">
        <f>MT1_[[#This Row],[Profit]]/MT1_[[#This Row],[Total Sales]]</f>
        <v>0.26</v>
      </c>
    </row>
    <row r="270" spans="1:12" ht="15.6" x14ac:dyDescent="0.3">
      <c r="A270" s="15">
        <v>1270</v>
      </c>
      <c r="B270" s="14">
        <v>45368</v>
      </c>
      <c r="C270" s="18" t="s">
        <v>20</v>
      </c>
      <c r="D270" s="18" t="s">
        <v>33</v>
      </c>
      <c r="E270" s="18" t="s">
        <v>30</v>
      </c>
      <c r="F270" s="18" t="s">
        <v>14</v>
      </c>
      <c r="G270" s="15">
        <v>12</v>
      </c>
      <c r="H270" s="20">
        <v>30000</v>
      </c>
      <c r="I270" s="21">
        <v>360000</v>
      </c>
      <c r="J270" s="21">
        <v>23100</v>
      </c>
      <c r="K270" s="21">
        <v>82800</v>
      </c>
      <c r="L270" s="30">
        <f>MT1_[[#This Row],[Profit]]/MT1_[[#This Row],[Total Sales]]</f>
        <v>0.23</v>
      </c>
    </row>
    <row r="271" spans="1:12" ht="15.6" x14ac:dyDescent="0.3">
      <c r="A271" s="15">
        <v>1271</v>
      </c>
      <c r="B271" s="14">
        <v>45342</v>
      </c>
      <c r="C271" s="18" t="s">
        <v>21</v>
      </c>
      <c r="D271" s="18" t="s">
        <v>12</v>
      </c>
      <c r="E271" s="18" t="s">
        <v>17</v>
      </c>
      <c r="F271" s="18" t="s">
        <v>24</v>
      </c>
      <c r="G271" s="15">
        <v>99</v>
      </c>
      <c r="H271" s="20">
        <v>250</v>
      </c>
      <c r="I271" s="21">
        <v>24750</v>
      </c>
      <c r="J271" s="21">
        <v>202.5</v>
      </c>
      <c r="K271" s="21">
        <v>4702.5</v>
      </c>
      <c r="L271" s="30">
        <f>MT1_[[#This Row],[Profit]]/MT1_[[#This Row],[Total Sales]]</f>
        <v>0.19</v>
      </c>
    </row>
    <row r="272" spans="1:12" ht="15.6" x14ac:dyDescent="0.3">
      <c r="A272" s="15">
        <v>1272</v>
      </c>
      <c r="B272" s="14">
        <v>45297</v>
      </c>
      <c r="C272" s="18" t="s">
        <v>21</v>
      </c>
      <c r="D272" s="18" t="s">
        <v>12</v>
      </c>
      <c r="E272" s="18" t="s">
        <v>28</v>
      </c>
      <c r="F272" s="18" t="s">
        <v>35</v>
      </c>
      <c r="G272" s="15">
        <v>28</v>
      </c>
      <c r="H272" s="20">
        <v>500</v>
      </c>
      <c r="I272" s="21">
        <v>14000</v>
      </c>
      <c r="J272" s="21">
        <v>395</v>
      </c>
      <c r="K272" s="21">
        <v>2940</v>
      </c>
      <c r="L272" s="30">
        <f>MT1_[[#This Row],[Profit]]/MT1_[[#This Row],[Total Sales]]</f>
        <v>0.21</v>
      </c>
    </row>
    <row r="273" spans="1:12" ht="15.6" x14ac:dyDescent="0.3">
      <c r="A273" s="15">
        <v>1273</v>
      </c>
      <c r="B273" s="14">
        <v>45382</v>
      </c>
      <c r="C273" s="18" t="s">
        <v>11</v>
      </c>
      <c r="D273" s="18" t="s">
        <v>34</v>
      </c>
      <c r="E273" s="18" t="s">
        <v>17</v>
      </c>
      <c r="F273" s="18" t="s">
        <v>24</v>
      </c>
      <c r="G273" s="15">
        <v>46</v>
      </c>
      <c r="H273" s="20">
        <v>150</v>
      </c>
      <c r="I273" s="21">
        <v>6900</v>
      </c>
      <c r="J273" s="21">
        <v>112.5</v>
      </c>
      <c r="K273" s="21">
        <v>1725</v>
      </c>
      <c r="L273" s="30">
        <f>MT1_[[#This Row],[Profit]]/MT1_[[#This Row],[Total Sales]]</f>
        <v>0.25</v>
      </c>
    </row>
    <row r="274" spans="1:12" ht="15.6" x14ac:dyDescent="0.3">
      <c r="A274" s="15">
        <v>1274</v>
      </c>
      <c r="B274" s="14">
        <v>45302</v>
      </c>
      <c r="C274" s="18" t="s">
        <v>20</v>
      </c>
      <c r="D274" s="18" t="s">
        <v>16</v>
      </c>
      <c r="E274" s="18" t="s">
        <v>13</v>
      </c>
      <c r="F274" s="18" t="s">
        <v>23</v>
      </c>
      <c r="G274" s="15">
        <v>86</v>
      </c>
      <c r="H274" s="20">
        <v>1200</v>
      </c>
      <c r="I274" s="21">
        <v>103200</v>
      </c>
      <c r="J274" s="21">
        <v>1080</v>
      </c>
      <c r="K274" s="21">
        <v>10320</v>
      </c>
      <c r="L274" s="30">
        <f>MT1_[[#This Row],[Profit]]/MT1_[[#This Row],[Total Sales]]</f>
        <v>0.1</v>
      </c>
    </row>
    <row r="275" spans="1:12" ht="15.6" x14ac:dyDescent="0.3">
      <c r="A275" s="15">
        <v>1275</v>
      </c>
      <c r="B275" s="14">
        <v>45306</v>
      </c>
      <c r="C275" s="18" t="s">
        <v>11</v>
      </c>
      <c r="D275" s="18" t="s">
        <v>12</v>
      </c>
      <c r="E275" s="18" t="s">
        <v>25</v>
      </c>
      <c r="F275" s="18" t="s">
        <v>27</v>
      </c>
      <c r="G275" s="15">
        <v>49</v>
      </c>
      <c r="H275" s="20">
        <v>300</v>
      </c>
      <c r="I275" s="21">
        <v>14700</v>
      </c>
      <c r="J275" s="21">
        <v>267</v>
      </c>
      <c r="K275" s="21">
        <v>1617</v>
      </c>
      <c r="L275" s="30">
        <f>MT1_[[#This Row],[Profit]]/MT1_[[#This Row],[Total Sales]]</f>
        <v>0.11</v>
      </c>
    </row>
    <row r="276" spans="1:12" ht="15.6" x14ac:dyDescent="0.3">
      <c r="A276" s="15">
        <v>1276</v>
      </c>
      <c r="B276" s="14">
        <v>45382</v>
      </c>
      <c r="C276" s="18" t="s">
        <v>11</v>
      </c>
      <c r="D276" s="18" t="s">
        <v>34</v>
      </c>
      <c r="E276" s="18" t="s">
        <v>30</v>
      </c>
      <c r="F276" s="18" t="s">
        <v>31</v>
      </c>
      <c r="G276" s="15">
        <v>27</v>
      </c>
      <c r="H276" s="20">
        <v>300</v>
      </c>
      <c r="I276" s="21">
        <v>8100</v>
      </c>
      <c r="J276" s="21">
        <v>216</v>
      </c>
      <c r="K276" s="21">
        <v>2268</v>
      </c>
      <c r="L276" s="30">
        <f>MT1_[[#This Row],[Profit]]/MT1_[[#This Row],[Total Sales]]</f>
        <v>0.28000000000000003</v>
      </c>
    </row>
    <row r="277" spans="1:12" ht="15.6" x14ac:dyDescent="0.3">
      <c r="A277" s="15">
        <v>1277</v>
      </c>
      <c r="B277" s="14">
        <v>45367</v>
      </c>
      <c r="C277" s="18" t="s">
        <v>15</v>
      </c>
      <c r="D277" s="18" t="s">
        <v>33</v>
      </c>
      <c r="E277" s="18" t="s">
        <v>30</v>
      </c>
      <c r="F277" s="18" t="s">
        <v>23</v>
      </c>
      <c r="G277" s="15">
        <v>3</v>
      </c>
      <c r="H277" s="20">
        <v>150</v>
      </c>
      <c r="I277" s="21">
        <v>450</v>
      </c>
      <c r="J277" s="21">
        <v>132</v>
      </c>
      <c r="K277" s="21">
        <v>54</v>
      </c>
      <c r="L277" s="30">
        <f>MT1_[[#This Row],[Profit]]/MT1_[[#This Row],[Total Sales]]</f>
        <v>0.12</v>
      </c>
    </row>
    <row r="278" spans="1:12" ht="15.6" x14ac:dyDescent="0.3">
      <c r="A278" s="15">
        <v>1278</v>
      </c>
      <c r="B278" s="14">
        <v>45342</v>
      </c>
      <c r="C278" s="18" t="s">
        <v>21</v>
      </c>
      <c r="D278" s="18" t="s">
        <v>32</v>
      </c>
      <c r="E278" s="18" t="s">
        <v>25</v>
      </c>
      <c r="F278" s="18" t="s">
        <v>29</v>
      </c>
      <c r="G278" s="15">
        <v>39</v>
      </c>
      <c r="H278" s="20">
        <v>900</v>
      </c>
      <c r="I278" s="21">
        <v>35100</v>
      </c>
      <c r="J278" s="21">
        <v>801</v>
      </c>
      <c r="K278" s="21">
        <v>3861</v>
      </c>
      <c r="L278" s="30">
        <f>MT1_[[#This Row],[Profit]]/MT1_[[#This Row],[Total Sales]]</f>
        <v>0.11</v>
      </c>
    </row>
    <row r="279" spans="1:12" ht="15.6" x14ac:dyDescent="0.3">
      <c r="A279" s="15">
        <v>1279</v>
      </c>
      <c r="B279" s="14">
        <v>45309</v>
      </c>
      <c r="C279" s="18" t="s">
        <v>21</v>
      </c>
      <c r="D279" s="18" t="s">
        <v>16</v>
      </c>
      <c r="E279" s="18" t="s">
        <v>25</v>
      </c>
      <c r="F279" s="18" t="s">
        <v>18</v>
      </c>
      <c r="G279" s="15">
        <v>64</v>
      </c>
      <c r="H279" s="20">
        <v>50</v>
      </c>
      <c r="I279" s="21">
        <v>3200</v>
      </c>
      <c r="J279" s="21">
        <v>38</v>
      </c>
      <c r="K279" s="21">
        <v>768</v>
      </c>
      <c r="L279" s="30">
        <f>MT1_[[#This Row],[Profit]]/MT1_[[#This Row],[Total Sales]]</f>
        <v>0.24</v>
      </c>
    </row>
    <row r="280" spans="1:12" ht="15.6" x14ac:dyDescent="0.3">
      <c r="A280" s="15">
        <v>1280</v>
      </c>
      <c r="B280" s="14">
        <v>45302</v>
      </c>
      <c r="C280" s="18" t="s">
        <v>20</v>
      </c>
      <c r="D280" s="18" t="s">
        <v>33</v>
      </c>
      <c r="E280" s="18" t="s">
        <v>30</v>
      </c>
      <c r="F280" s="18" t="s">
        <v>26</v>
      </c>
      <c r="G280" s="15">
        <v>95</v>
      </c>
      <c r="H280" s="20">
        <v>50</v>
      </c>
      <c r="I280" s="21">
        <v>4750</v>
      </c>
      <c r="J280" s="21">
        <v>43</v>
      </c>
      <c r="K280" s="21">
        <v>665</v>
      </c>
      <c r="L280" s="30">
        <f>MT1_[[#This Row],[Profit]]/MT1_[[#This Row],[Total Sales]]</f>
        <v>0.14000000000000001</v>
      </c>
    </row>
    <row r="281" spans="1:12" ht="15.6" x14ac:dyDescent="0.3">
      <c r="A281" s="15">
        <v>1281</v>
      </c>
      <c r="B281" s="14">
        <v>45377</v>
      </c>
      <c r="C281" s="18" t="s">
        <v>15</v>
      </c>
      <c r="D281" s="18" t="s">
        <v>33</v>
      </c>
      <c r="E281" s="18" t="s">
        <v>13</v>
      </c>
      <c r="F281" s="18" t="s">
        <v>29</v>
      </c>
      <c r="G281" s="15">
        <v>75</v>
      </c>
      <c r="H281" s="20">
        <v>300</v>
      </c>
      <c r="I281" s="21">
        <v>22500</v>
      </c>
      <c r="J281" s="21">
        <v>228</v>
      </c>
      <c r="K281" s="21">
        <v>5400</v>
      </c>
      <c r="L281" s="30">
        <f>MT1_[[#This Row],[Profit]]/MT1_[[#This Row],[Total Sales]]</f>
        <v>0.24</v>
      </c>
    </row>
    <row r="282" spans="1:12" ht="15.6" x14ac:dyDescent="0.3">
      <c r="A282" s="15">
        <v>1282</v>
      </c>
      <c r="B282" s="14">
        <v>45348</v>
      </c>
      <c r="C282" s="18" t="s">
        <v>19</v>
      </c>
      <c r="D282" s="18" t="s">
        <v>12</v>
      </c>
      <c r="E282" s="18" t="s">
        <v>30</v>
      </c>
      <c r="F282" s="18" t="s">
        <v>36</v>
      </c>
      <c r="G282" s="15">
        <v>73</v>
      </c>
      <c r="H282" s="20">
        <v>15000</v>
      </c>
      <c r="I282" s="21">
        <v>1095000</v>
      </c>
      <c r="J282" s="21">
        <v>12600</v>
      </c>
      <c r="K282" s="21">
        <v>175200</v>
      </c>
      <c r="L282" s="30">
        <f>MT1_[[#This Row],[Profit]]/MT1_[[#This Row],[Total Sales]]</f>
        <v>0.16</v>
      </c>
    </row>
    <row r="283" spans="1:12" ht="15.6" x14ac:dyDescent="0.3">
      <c r="A283" s="15">
        <v>1283</v>
      </c>
      <c r="B283" s="14">
        <v>45305</v>
      </c>
      <c r="C283" s="18" t="s">
        <v>11</v>
      </c>
      <c r="D283" s="18" t="s">
        <v>34</v>
      </c>
      <c r="E283" s="18" t="s">
        <v>28</v>
      </c>
      <c r="F283" s="18" t="s">
        <v>27</v>
      </c>
      <c r="G283" s="15">
        <v>40</v>
      </c>
      <c r="H283" s="20">
        <v>1200</v>
      </c>
      <c r="I283" s="21">
        <v>48000</v>
      </c>
      <c r="J283" s="21">
        <v>852</v>
      </c>
      <c r="K283" s="21">
        <v>13920</v>
      </c>
      <c r="L283" s="30">
        <f>MT1_[[#This Row],[Profit]]/MT1_[[#This Row],[Total Sales]]</f>
        <v>0.28999999999999998</v>
      </c>
    </row>
    <row r="284" spans="1:12" ht="15.6" x14ac:dyDescent="0.3">
      <c r="A284" s="15">
        <v>1284</v>
      </c>
      <c r="B284" s="14">
        <v>45327</v>
      </c>
      <c r="C284" s="18" t="s">
        <v>11</v>
      </c>
      <c r="D284" s="18" t="s">
        <v>33</v>
      </c>
      <c r="E284" s="18" t="s">
        <v>17</v>
      </c>
      <c r="F284" s="18" t="s">
        <v>35</v>
      </c>
      <c r="G284" s="15">
        <v>44</v>
      </c>
      <c r="H284" s="20">
        <v>150</v>
      </c>
      <c r="I284" s="21">
        <v>6600</v>
      </c>
      <c r="J284" s="21">
        <v>133.5</v>
      </c>
      <c r="K284" s="21">
        <v>726</v>
      </c>
      <c r="L284" s="30">
        <f>MT1_[[#This Row],[Profit]]/MT1_[[#This Row],[Total Sales]]</f>
        <v>0.11</v>
      </c>
    </row>
    <row r="285" spans="1:12" ht="15.6" x14ac:dyDescent="0.3">
      <c r="A285" s="15">
        <v>1285</v>
      </c>
      <c r="B285" s="14">
        <v>45317</v>
      </c>
      <c r="C285" s="18" t="s">
        <v>19</v>
      </c>
      <c r="D285" s="18" t="s">
        <v>16</v>
      </c>
      <c r="E285" s="18" t="s">
        <v>30</v>
      </c>
      <c r="F285" s="18" t="s">
        <v>23</v>
      </c>
      <c r="G285" s="15">
        <v>64</v>
      </c>
      <c r="H285" s="20">
        <v>50</v>
      </c>
      <c r="I285" s="21">
        <v>3200</v>
      </c>
      <c r="J285" s="21">
        <v>42.5</v>
      </c>
      <c r="K285" s="21">
        <v>480</v>
      </c>
      <c r="L285" s="30">
        <f>MT1_[[#This Row],[Profit]]/MT1_[[#This Row],[Total Sales]]</f>
        <v>0.15</v>
      </c>
    </row>
    <row r="286" spans="1:12" ht="15.6" x14ac:dyDescent="0.3">
      <c r="A286" s="15">
        <v>1286</v>
      </c>
      <c r="B286" s="14">
        <v>45334</v>
      </c>
      <c r="C286" s="18" t="s">
        <v>15</v>
      </c>
      <c r="D286" s="18" t="s">
        <v>33</v>
      </c>
      <c r="E286" s="18" t="s">
        <v>25</v>
      </c>
      <c r="F286" s="18" t="s">
        <v>36</v>
      </c>
      <c r="G286" s="15">
        <v>53</v>
      </c>
      <c r="H286" s="20">
        <v>250</v>
      </c>
      <c r="I286" s="21">
        <v>13250</v>
      </c>
      <c r="J286" s="21">
        <v>187.5</v>
      </c>
      <c r="K286" s="21">
        <v>3312.5</v>
      </c>
      <c r="L286" s="30">
        <f>MT1_[[#This Row],[Profit]]/MT1_[[#This Row],[Total Sales]]</f>
        <v>0.25</v>
      </c>
    </row>
    <row r="287" spans="1:12" ht="15.6" x14ac:dyDescent="0.3">
      <c r="A287" s="15">
        <v>1287</v>
      </c>
      <c r="B287" s="14">
        <v>45294</v>
      </c>
      <c r="C287" s="18" t="s">
        <v>20</v>
      </c>
      <c r="D287" s="18" t="s">
        <v>32</v>
      </c>
      <c r="E287" s="18" t="s">
        <v>17</v>
      </c>
      <c r="F287" s="18" t="s">
        <v>14</v>
      </c>
      <c r="G287" s="15">
        <v>13</v>
      </c>
      <c r="H287" s="20">
        <v>300</v>
      </c>
      <c r="I287" s="21">
        <v>3900</v>
      </c>
      <c r="J287" s="21">
        <v>270</v>
      </c>
      <c r="K287" s="21">
        <v>390</v>
      </c>
      <c r="L287" s="30">
        <f>MT1_[[#This Row],[Profit]]/MT1_[[#This Row],[Total Sales]]</f>
        <v>0.1</v>
      </c>
    </row>
    <row r="288" spans="1:12" ht="15.6" x14ac:dyDescent="0.3">
      <c r="A288" s="15">
        <v>1288</v>
      </c>
      <c r="B288" s="14">
        <v>45380</v>
      </c>
      <c r="C288" s="18" t="s">
        <v>11</v>
      </c>
      <c r="D288" s="18" t="s">
        <v>34</v>
      </c>
      <c r="E288" s="18" t="s">
        <v>25</v>
      </c>
      <c r="F288" s="18" t="s">
        <v>26</v>
      </c>
      <c r="G288" s="15">
        <v>71</v>
      </c>
      <c r="H288" s="20">
        <v>15000</v>
      </c>
      <c r="I288" s="21">
        <v>1065000</v>
      </c>
      <c r="J288" s="21">
        <v>12000</v>
      </c>
      <c r="K288" s="21">
        <v>213000</v>
      </c>
      <c r="L288" s="30">
        <f>MT1_[[#This Row],[Profit]]/MT1_[[#This Row],[Total Sales]]</f>
        <v>0.2</v>
      </c>
    </row>
    <row r="289" spans="1:12" ht="15.6" x14ac:dyDescent="0.3">
      <c r="A289" s="15">
        <v>1289</v>
      </c>
      <c r="B289" s="14">
        <v>45335</v>
      </c>
      <c r="C289" s="18" t="s">
        <v>21</v>
      </c>
      <c r="D289" s="18" t="s">
        <v>34</v>
      </c>
      <c r="E289" s="18" t="s">
        <v>17</v>
      </c>
      <c r="F289" s="18" t="s">
        <v>24</v>
      </c>
      <c r="G289" s="15">
        <v>1</v>
      </c>
      <c r="H289" s="20">
        <v>50</v>
      </c>
      <c r="I289" s="21">
        <v>50</v>
      </c>
      <c r="J289" s="21">
        <v>35</v>
      </c>
      <c r="K289" s="21">
        <v>15</v>
      </c>
      <c r="L289" s="30">
        <f>MT1_[[#This Row],[Profit]]/MT1_[[#This Row],[Total Sales]]</f>
        <v>0.3</v>
      </c>
    </row>
    <row r="290" spans="1:12" ht="15.6" x14ac:dyDescent="0.3">
      <c r="A290" s="15">
        <v>1290</v>
      </c>
      <c r="B290" s="14">
        <v>45334</v>
      </c>
      <c r="C290" s="18" t="s">
        <v>20</v>
      </c>
      <c r="D290" s="18" t="s">
        <v>34</v>
      </c>
      <c r="E290" s="18" t="s">
        <v>13</v>
      </c>
      <c r="F290" s="18" t="s">
        <v>14</v>
      </c>
      <c r="G290" s="15">
        <v>81</v>
      </c>
      <c r="H290" s="20">
        <v>150</v>
      </c>
      <c r="I290" s="21">
        <v>12150</v>
      </c>
      <c r="J290" s="21">
        <v>108</v>
      </c>
      <c r="K290" s="21">
        <v>3402</v>
      </c>
      <c r="L290" s="30">
        <f>MT1_[[#This Row],[Profit]]/MT1_[[#This Row],[Total Sales]]</f>
        <v>0.28000000000000003</v>
      </c>
    </row>
    <row r="291" spans="1:12" ht="15.6" x14ac:dyDescent="0.3">
      <c r="A291" s="15">
        <v>1291</v>
      </c>
      <c r="B291" s="14">
        <v>45308</v>
      </c>
      <c r="C291" s="18" t="s">
        <v>20</v>
      </c>
      <c r="D291" s="18" t="s">
        <v>34</v>
      </c>
      <c r="E291" s="18" t="s">
        <v>13</v>
      </c>
      <c r="F291" s="18" t="s">
        <v>27</v>
      </c>
      <c r="G291" s="15">
        <v>98</v>
      </c>
      <c r="H291" s="20">
        <v>300</v>
      </c>
      <c r="I291" s="21">
        <v>29400</v>
      </c>
      <c r="J291" s="21">
        <v>216</v>
      </c>
      <c r="K291" s="21">
        <v>8232</v>
      </c>
      <c r="L291" s="30">
        <f>MT1_[[#This Row],[Profit]]/MT1_[[#This Row],[Total Sales]]</f>
        <v>0.28000000000000003</v>
      </c>
    </row>
    <row r="292" spans="1:12" ht="15.6" x14ac:dyDescent="0.3">
      <c r="A292" s="15">
        <v>1292</v>
      </c>
      <c r="B292" s="14">
        <v>45357</v>
      </c>
      <c r="C292" s="18" t="s">
        <v>15</v>
      </c>
      <c r="D292" s="18" t="s">
        <v>33</v>
      </c>
      <c r="E292" s="18" t="s">
        <v>25</v>
      </c>
      <c r="F292" s="18" t="s">
        <v>29</v>
      </c>
      <c r="G292" s="15">
        <v>75</v>
      </c>
      <c r="H292" s="20">
        <v>250</v>
      </c>
      <c r="I292" s="21">
        <v>18750</v>
      </c>
      <c r="J292" s="21">
        <v>182.5</v>
      </c>
      <c r="K292" s="21">
        <v>5062.5</v>
      </c>
      <c r="L292" s="30">
        <f>MT1_[[#This Row],[Profit]]/MT1_[[#This Row],[Total Sales]]</f>
        <v>0.27</v>
      </c>
    </row>
    <row r="293" spans="1:12" ht="15.6" x14ac:dyDescent="0.3">
      <c r="A293" s="15">
        <v>1293</v>
      </c>
      <c r="B293" s="14">
        <v>45379</v>
      </c>
      <c r="C293" s="18" t="s">
        <v>20</v>
      </c>
      <c r="D293" s="18" t="s">
        <v>32</v>
      </c>
      <c r="E293" s="18" t="s">
        <v>28</v>
      </c>
      <c r="F293" s="18" t="s">
        <v>36</v>
      </c>
      <c r="G293" s="15">
        <v>74</v>
      </c>
      <c r="H293" s="20">
        <v>700</v>
      </c>
      <c r="I293" s="21">
        <v>51800</v>
      </c>
      <c r="J293" s="21">
        <v>518</v>
      </c>
      <c r="K293" s="21">
        <v>13468</v>
      </c>
      <c r="L293" s="30">
        <f>MT1_[[#This Row],[Profit]]/MT1_[[#This Row],[Total Sales]]</f>
        <v>0.26</v>
      </c>
    </row>
    <row r="294" spans="1:12" ht="15.6" x14ac:dyDescent="0.3">
      <c r="A294" s="15">
        <v>1294</v>
      </c>
      <c r="B294" s="14">
        <v>45335</v>
      </c>
      <c r="C294" s="18" t="s">
        <v>11</v>
      </c>
      <c r="D294" s="18" t="s">
        <v>34</v>
      </c>
      <c r="E294" s="18" t="s">
        <v>17</v>
      </c>
      <c r="F294" s="18" t="s">
        <v>36</v>
      </c>
      <c r="G294" s="15">
        <v>47</v>
      </c>
      <c r="H294" s="20">
        <v>1200</v>
      </c>
      <c r="I294" s="21">
        <v>56400</v>
      </c>
      <c r="J294" s="21">
        <v>996</v>
      </c>
      <c r="K294" s="21">
        <v>9588</v>
      </c>
      <c r="L294" s="30">
        <f>MT1_[[#This Row],[Profit]]/MT1_[[#This Row],[Total Sales]]</f>
        <v>0.17</v>
      </c>
    </row>
    <row r="295" spans="1:12" ht="15.6" x14ac:dyDescent="0.3">
      <c r="A295" s="15">
        <v>1295</v>
      </c>
      <c r="B295" s="14">
        <v>45343</v>
      </c>
      <c r="C295" s="18" t="s">
        <v>15</v>
      </c>
      <c r="D295" s="18" t="s">
        <v>33</v>
      </c>
      <c r="E295" s="18" t="s">
        <v>25</v>
      </c>
      <c r="F295" s="18" t="s">
        <v>27</v>
      </c>
      <c r="G295" s="15">
        <v>70</v>
      </c>
      <c r="H295" s="20">
        <v>250</v>
      </c>
      <c r="I295" s="21">
        <v>17500</v>
      </c>
      <c r="J295" s="21">
        <v>185</v>
      </c>
      <c r="K295" s="21">
        <v>4550</v>
      </c>
      <c r="L295" s="30">
        <f>MT1_[[#This Row],[Profit]]/MT1_[[#This Row],[Total Sales]]</f>
        <v>0.26</v>
      </c>
    </row>
    <row r="296" spans="1:12" ht="15.6" x14ac:dyDescent="0.3">
      <c r="A296" s="15">
        <v>1296</v>
      </c>
      <c r="B296" s="14">
        <v>45320</v>
      </c>
      <c r="C296" s="18" t="s">
        <v>15</v>
      </c>
      <c r="D296" s="18" t="s">
        <v>16</v>
      </c>
      <c r="E296" s="18" t="s">
        <v>17</v>
      </c>
      <c r="F296" s="18" t="s">
        <v>31</v>
      </c>
      <c r="G296" s="15">
        <v>45</v>
      </c>
      <c r="H296" s="20">
        <v>150</v>
      </c>
      <c r="I296" s="21">
        <v>6750</v>
      </c>
      <c r="J296" s="21">
        <v>121.5</v>
      </c>
      <c r="K296" s="21">
        <v>1282.5</v>
      </c>
      <c r="L296" s="30">
        <f>MT1_[[#This Row],[Profit]]/MT1_[[#This Row],[Total Sales]]</f>
        <v>0.19</v>
      </c>
    </row>
    <row r="297" spans="1:12" ht="15.6" x14ac:dyDescent="0.3">
      <c r="A297" s="15">
        <v>1297</v>
      </c>
      <c r="B297" s="14">
        <v>45371</v>
      </c>
      <c r="C297" s="18" t="s">
        <v>21</v>
      </c>
      <c r="D297" s="18" t="s">
        <v>12</v>
      </c>
      <c r="E297" s="18" t="s">
        <v>13</v>
      </c>
      <c r="F297" s="18" t="s">
        <v>26</v>
      </c>
      <c r="G297" s="15">
        <v>95</v>
      </c>
      <c r="H297" s="20">
        <v>500</v>
      </c>
      <c r="I297" s="21">
        <v>47500</v>
      </c>
      <c r="J297" s="21">
        <v>430</v>
      </c>
      <c r="K297" s="21">
        <v>6650</v>
      </c>
      <c r="L297" s="30">
        <f>MT1_[[#This Row],[Profit]]/MT1_[[#This Row],[Total Sales]]</f>
        <v>0.14000000000000001</v>
      </c>
    </row>
    <row r="298" spans="1:12" ht="15.6" x14ac:dyDescent="0.3">
      <c r="A298" s="15">
        <v>1298</v>
      </c>
      <c r="B298" s="14">
        <v>45372</v>
      </c>
      <c r="C298" s="18" t="s">
        <v>20</v>
      </c>
      <c r="D298" s="18" t="s">
        <v>12</v>
      </c>
      <c r="E298" s="18" t="s">
        <v>28</v>
      </c>
      <c r="F298" s="18" t="s">
        <v>27</v>
      </c>
      <c r="G298" s="15">
        <v>42</v>
      </c>
      <c r="H298" s="20">
        <v>500</v>
      </c>
      <c r="I298" s="21">
        <v>21000</v>
      </c>
      <c r="J298" s="21">
        <v>440</v>
      </c>
      <c r="K298" s="21">
        <v>2520</v>
      </c>
      <c r="L298" s="30">
        <f>MT1_[[#This Row],[Profit]]/MT1_[[#This Row],[Total Sales]]</f>
        <v>0.12</v>
      </c>
    </row>
    <row r="299" spans="1:12" ht="15.6" x14ac:dyDescent="0.3">
      <c r="A299" s="15">
        <v>1299</v>
      </c>
      <c r="B299" s="14">
        <v>45356</v>
      </c>
      <c r="C299" s="18" t="s">
        <v>11</v>
      </c>
      <c r="D299" s="18" t="s">
        <v>32</v>
      </c>
      <c r="E299" s="18" t="s">
        <v>17</v>
      </c>
      <c r="F299" s="18" t="s">
        <v>27</v>
      </c>
      <c r="G299" s="15">
        <v>72</v>
      </c>
      <c r="H299" s="20">
        <v>150</v>
      </c>
      <c r="I299" s="21">
        <v>10800</v>
      </c>
      <c r="J299" s="21">
        <v>133.5</v>
      </c>
      <c r="K299" s="21">
        <v>1188</v>
      </c>
      <c r="L299" s="30">
        <f>MT1_[[#This Row],[Profit]]/MT1_[[#This Row],[Total Sales]]</f>
        <v>0.11</v>
      </c>
    </row>
    <row r="300" spans="1:12" ht="15.6" x14ac:dyDescent="0.3">
      <c r="A300" s="15">
        <v>1300</v>
      </c>
      <c r="B300" s="14">
        <v>45359</v>
      </c>
      <c r="C300" s="18" t="s">
        <v>11</v>
      </c>
      <c r="D300" s="18" t="s">
        <v>32</v>
      </c>
      <c r="E300" s="18" t="s">
        <v>13</v>
      </c>
      <c r="F300" s="18" t="s">
        <v>23</v>
      </c>
      <c r="G300" s="15">
        <v>90</v>
      </c>
      <c r="H300" s="20">
        <v>900</v>
      </c>
      <c r="I300" s="21">
        <v>81000</v>
      </c>
      <c r="J300" s="21">
        <v>630</v>
      </c>
      <c r="K300" s="21">
        <v>24300</v>
      </c>
      <c r="L300" s="30">
        <f>MT1_[[#This Row],[Profit]]/MT1_[[#This Row],[Total Sales]]</f>
        <v>0.3</v>
      </c>
    </row>
    <row r="301" spans="1:12" ht="15.6" x14ac:dyDescent="0.3">
      <c r="A301" s="15">
        <v>1301</v>
      </c>
      <c r="B301" s="14">
        <v>45354</v>
      </c>
      <c r="C301" s="18" t="s">
        <v>11</v>
      </c>
      <c r="D301" s="18" t="s">
        <v>16</v>
      </c>
      <c r="E301" s="18" t="s">
        <v>13</v>
      </c>
      <c r="F301" s="18" t="s">
        <v>35</v>
      </c>
      <c r="G301" s="15">
        <v>25</v>
      </c>
      <c r="H301" s="20">
        <v>250</v>
      </c>
      <c r="I301" s="21">
        <v>6250</v>
      </c>
      <c r="J301" s="21">
        <v>215</v>
      </c>
      <c r="K301" s="21">
        <v>875</v>
      </c>
      <c r="L301" s="30">
        <f>MT1_[[#This Row],[Profit]]/MT1_[[#This Row],[Total Sales]]</f>
        <v>0.14000000000000001</v>
      </c>
    </row>
    <row r="302" spans="1:12" ht="15.6" x14ac:dyDescent="0.3">
      <c r="A302" s="15">
        <v>1302</v>
      </c>
      <c r="B302" s="14">
        <v>45292</v>
      </c>
      <c r="C302" s="18" t="s">
        <v>21</v>
      </c>
      <c r="D302" s="18" t="s">
        <v>33</v>
      </c>
      <c r="E302" s="18" t="s">
        <v>30</v>
      </c>
      <c r="F302" s="18" t="s">
        <v>18</v>
      </c>
      <c r="G302" s="15">
        <v>23</v>
      </c>
      <c r="H302" s="20">
        <v>300</v>
      </c>
      <c r="I302" s="21">
        <v>6900</v>
      </c>
      <c r="J302" s="21">
        <v>267</v>
      </c>
      <c r="K302" s="21">
        <v>759</v>
      </c>
      <c r="L302" s="30">
        <f>MT1_[[#This Row],[Profit]]/MT1_[[#This Row],[Total Sales]]</f>
        <v>0.11</v>
      </c>
    </row>
    <row r="303" spans="1:12" ht="15.6" x14ac:dyDescent="0.3">
      <c r="A303" s="15">
        <v>1303</v>
      </c>
      <c r="B303" s="14">
        <v>45340</v>
      </c>
      <c r="C303" s="18" t="s">
        <v>19</v>
      </c>
      <c r="D303" s="18" t="s">
        <v>34</v>
      </c>
      <c r="E303" s="18" t="s">
        <v>25</v>
      </c>
      <c r="F303" s="18" t="s">
        <v>35</v>
      </c>
      <c r="G303" s="15">
        <v>51</v>
      </c>
      <c r="H303" s="20">
        <v>700</v>
      </c>
      <c r="I303" s="21">
        <v>35700</v>
      </c>
      <c r="J303" s="21">
        <v>539</v>
      </c>
      <c r="K303" s="21">
        <v>8211</v>
      </c>
      <c r="L303" s="30">
        <f>MT1_[[#This Row],[Profit]]/MT1_[[#This Row],[Total Sales]]</f>
        <v>0.23</v>
      </c>
    </row>
    <row r="304" spans="1:12" ht="15.6" x14ac:dyDescent="0.3">
      <c r="A304" s="15">
        <v>1304</v>
      </c>
      <c r="B304" s="14">
        <v>45381</v>
      </c>
      <c r="C304" s="18" t="s">
        <v>11</v>
      </c>
      <c r="D304" s="18" t="s">
        <v>16</v>
      </c>
      <c r="E304" s="18" t="s">
        <v>13</v>
      </c>
      <c r="F304" s="18" t="s">
        <v>14</v>
      </c>
      <c r="G304" s="15">
        <v>73</v>
      </c>
      <c r="H304" s="20">
        <v>700</v>
      </c>
      <c r="I304" s="21">
        <v>51100</v>
      </c>
      <c r="J304" s="21">
        <v>497</v>
      </c>
      <c r="K304" s="21">
        <v>14819</v>
      </c>
      <c r="L304" s="30">
        <f>MT1_[[#This Row],[Profit]]/MT1_[[#This Row],[Total Sales]]</f>
        <v>0.28999999999999998</v>
      </c>
    </row>
    <row r="305" spans="1:12" ht="15.6" x14ac:dyDescent="0.3">
      <c r="A305" s="15">
        <v>1305</v>
      </c>
      <c r="B305" s="14">
        <v>45340</v>
      </c>
      <c r="C305" s="18" t="s">
        <v>20</v>
      </c>
      <c r="D305" s="18" t="s">
        <v>16</v>
      </c>
      <c r="E305" s="18" t="s">
        <v>17</v>
      </c>
      <c r="F305" s="18" t="s">
        <v>35</v>
      </c>
      <c r="G305" s="15">
        <v>32</v>
      </c>
      <c r="H305" s="20">
        <v>300</v>
      </c>
      <c r="I305" s="21">
        <v>9600</v>
      </c>
      <c r="J305" s="21">
        <v>264</v>
      </c>
      <c r="K305" s="21">
        <v>1152</v>
      </c>
      <c r="L305" s="30">
        <f>MT1_[[#This Row],[Profit]]/MT1_[[#This Row],[Total Sales]]</f>
        <v>0.12</v>
      </c>
    </row>
    <row r="306" spans="1:12" ht="15.6" x14ac:dyDescent="0.3">
      <c r="A306" s="15">
        <v>1306</v>
      </c>
      <c r="B306" s="14">
        <v>45376</v>
      </c>
      <c r="C306" s="18" t="s">
        <v>20</v>
      </c>
      <c r="D306" s="18" t="s">
        <v>34</v>
      </c>
      <c r="E306" s="18" t="s">
        <v>30</v>
      </c>
      <c r="F306" s="18" t="s">
        <v>14</v>
      </c>
      <c r="G306" s="15">
        <v>54</v>
      </c>
      <c r="H306" s="20">
        <v>700</v>
      </c>
      <c r="I306" s="21">
        <v>37800</v>
      </c>
      <c r="J306" s="21">
        <v>504</v>
      </c>
      <c r="K306" s="21">
        <v>10584</v>
      </c>
      <c r="L306" s="30">
        <f>MT1_[[#This Row],[Profit]]/MT1_[[#This Row],[Total Sales]]</f>
        <v>0.28000000000000003</v>
      </c>
    </row>
    <row r="307" spans="1:12" ht="15.6" x14ac:dyDescent="0.3">
      <c r="A307" s="15">
        <v>1307</v>
      </c>
      <c r="B307" s="14">
        <v>45335</v>
      </c>
      <c r="C307" s="18" t="s">
        <v>19</v>
      </c>
      <c r="D307" s="18" t="s">
        <v>12</v>
      </c>
      <c r="E307" s="18" t="s">
        <v>25</v>
      </c>
      <c r="F307" s="18" t="s">
        <v>36</v>
      </c>
      <c r="G307" s="15">
        <v>7</v>
      </c>
      <c r="H307" s="20">
        <v>50</v>
      </c>
      <c r="I307" s="21">
        <v>350</v>
      </c>
      <c r="J307" s="21">
        <v>35</v>
      </c>
      <c r="K307" s="21">
        <v>105</v>
      </c>
      <c r="L307" s="30">
        <f>MT1_[[#This Row],[Profit]]/MT1_[[#This Row],[Total Sales]]</f>
        <v>0.3</v>
      </c>
    </row>
    <row r="308" spans="1:12" ht="15.6" x14ac:dyDescent="0.3">
      <c r="A308" s="15">
        <v>1308</v>
      </c>
      <c r="B308" s="14">
        <v>45296</v>
      </c>
      <c r="C308" s="18" t="s">
        <v>11</v>
      </c>
      <c r="D308" s="18" t="s">
        <v>16</v>
      </c>
      <c r="E308" s="18" t="s">
        <v>30</v>
      </c>
      <c r="F308" s="18" t="s">
        <v>26</v>
      </c>
      <c r="G308" s="15">
        <v>23</v>
      </c>
      <c r="H308" s="20">
        <v>30000</v>
      </c>
      <c r="I308" s="21">
        <v>690000</v>
      </c>
      <c r="J308" s="21">
        <v>23700</v>
      </c>
      <c r="K308" s="21">
        <v>144900</v>
      </c>
      <c r="L308" s="30">
        <f>MT1_[[#This Row],[Profit]]/MT1_[[#This Row],[Total Sales]]</f>
        <v>0.21</v>
      </c>
    </row>
    <row r="309" spans="1:12" ht="15.6" x14ac:dyDescent="0.3">
      <c r="A309" s="15">
        <v>1309</v>
      </c>
      <c r="B309" s="14">
        <v>45372</v>
      </c>
      <c r="C309" s="18" t="s">
        <v>15</v>
      </c>
      <c r="D309" s="18" t="s">
        <v>33</v>
      </c>
      <c r="E309" s="18" t="s">
        <v>13</v>
      </c>
      <c r="F309" s="18" t="s">
        <v>29</v>
      </c>
      <c r="G309" s="15">
        <v>52</v>
      </c>
      <c r="H309" s="20">
        <v>300</v>
      </c>
      <c r="I309" s="21">
        <v>15600</v>
      </c>
      <c r="J309" s="21">
        <v>264</v>
      </c>
      <c r="K309" s="21">
        <v>1872</v>
      </c>
      <c r="L309" s="30">
        <f>MT1_[[#This Row],[Profit]]/MT1_[[#This Row],[Total Sales]]</f>
        <v>0.12</v>
      </c>
    </row>
    <row r="310" spans="1:12" ht="15.6" x14ac:dyDescent="0.3">
      <c r="A310" s="15">
        <v>1310</v>
      </c>
      <c r="B310" s="14">
        <v>45293</v>
      </c>
      <c r="C310" s="18" t="s">
        <v>20</v>
      </c>
      <c r="D310" s="18" t="s">
        <v>34</v>
      </c>
      <c r="E310" s="18" t="s">
        <v>17</v>
      </c>
      <c r="F310" s="18" t="s">
        <v>26</v>
      </c>
      <c r="G310" s="15">
        <v>79</v>
      </c>
      <c r="H310" s="20">
        <v>1200</v>
      </c>
      <c r="I310" s="21">
        <v>94800</v>
      </c>
      <c r="J310" s="21">
        <v>840</v>
      </c>
      <c r="K310" s="21">
        <v>28440</v>
      </c>
      <c r="L310" s="30">
        <f>MT1_[[#This Row],[Profit]]/MT1_[[#This Row],[Total Sales]]</f>
        <v>0.3</v>
      </c>
    </row>
    <row r="311" spans="1:12" ht="15.6" x14ac:dyDescent="0.3">
      <c r="A311" s="15">
        <v>1311</v>
      </c>
      <c r="B311" s="14">
        <v>45370</v>
      </c>
      <c r="C311" s="18" t="s">
        <v>21</v>
      </c>
      <c r="D311" s="18" t="s">
        <v>33</v>
      </c>
      <c r="E311" s="18" t="s">
        <v>30</v>
      </c>
      <c r="F311" s="18" t="s">
        <v>18</v>
      </c>
      <c r="G311" s="15">
        <v>36</v>
      </c>
      <c r="H311" s="20">
        <v>15000</v>
      </c>
      <c r="I311" s="21">
        <v>540000</v>
      </c>
      <c r="J311" s="21">
        <v>12750</v>
      </c>
      <c r="K311" s="21">
        <v>81000</v>
      </c>
      <c r="L311" s="30">
        <f>MT1_[[#This Row],[Profit]]/MT1_[[#This Row],[Total Sales]]</f>
        <v>0.15</v>
      </c>
    </row>
    <row r="312" spans="1:12" ht="15.6" x14ac:dyDescent="0.3">
      <c r="A312" s="15">
        <v>1312</v>
      </c>
      <c r="B312" s="14">
        <v>45329</v>
      </c>
      <c r="C312" s="18" t="s">
        <v>11</v>
      </c>
      <c r="D312" s="18" t="s">
        <v>32</v>
      </c>
      <c r="E312" s="18" t="s">
        <v>17</v>
      </c>
      <c r="F312" s="18" t="s">
        <v>27</v>
      </c>
      <c r="G312" s="15">
        <v>43</v>
      </c>
      <c r="H312" s="20">
        <v>300</v>
      </c>
      <c r="I312" s="21">
        <v>12900</v>
      </c>
      <c r="J312" s="21">
        <v>231</v>
      </c>
      <c r="K312" s="21">
        <v>2967</v>
      </c>
      <c r="L312" s="30">
        <f>MT1_[[#This Row],[Profit]]/MT1_[[#This Row],[Total Sales]]</f>
        <v>0.23</v>
      </c>
    </row>
    <row r="313" spans="1:12" ht="15.6" x14ac:dyDescent="0.3">
      <c r="A313" s="15">
        <v>1313</v>
      </c>
      <c r="B313" s="14">
        <v>45300</v>
      </c>
      <c r="C313" s="18" t="s">
        <v>21</v>
      </c>
      <c r="D313" s="18" t="s">
        <v>34</v>
      </c>
      <c r="E313" s="18" t="s">
        <v>30</v>
      </c>
      <c r="F313" s="18" t="s">
        <v>14</v>
      </c>
      <c r="G313" s="15">
        <v>39</v>
      </c>
      <c r="H313" s="20">
        <v>30000</v>
      </c>
      <c r="I313" s="21">
        <v>1170000</v>
      </c>
      <c r="J313" s="21">
        <v>23100</v>
      </c>
      <c r="K313" s="21">
        <v>269100</v>
      </c>
      <c r="L313" s="30">
        <f>MT1_[[#This Row],[Profit]]/MT1_[[#This Row],[Total Sales]]</f>
        <v>0.23</v>
      </c>
    </row>
    <row r="314" spans="1:12" ht="15.6" x14ac:dyDescent="0.3">
      <c r="A314" s="15">
        <v>1314</v>
      </c>
      <c r="B314" s="14">
        <v>45304</v>
      </c>
      <c r="C314" s="18" t="s">
        <v>20</v>
      </c>
      <c r="D314" s="18" t="s">
        <v>34</v>
      </c>
      <c r="E314" s="18" t="s">
        <v>28</v>
      </c>
      <c r="F314" s="18" t="s">
        <v>26</v>
      </c>
      <c r="G314" s="15">
        <v>12</v>
      </c>
      <c r="H314" s="20">
        <v>900</v>
      </c>
      <c r="I314" s="21">
        <v>10800</v>
      </c>
      <c r="J314" s="21">
        <v>711</v>
      </c>
      <c r="K314" s="21">
        <v>2268</v>
      </c>
      <c r="L314" s="30">
        <f>MT1_[[#This Row],[Profit]]/MT1_[[#This Row],[Total Sales]]</f>
        <v>0.21</v>
      </c>
    </row>
    <row r="315" spans="1:12" ht="15.6" x14ac:dyDescent="0.3">
      <c r="A315" s="15">
        <v>1315</v>
      </c>
      <c r="B315" s="14">
        <v>45329</v>
      </c>
      <c r="C315" s="18" t="s">
        <v>15</v>
      </c>
      <c r="D315" s="18" t="s">
        <v>32</v>
      </c>
      <c r="E315" s="18" t="s">
        <v>17</v>
      </c>
      <c r="F315" s="18" t="s">
        <v>18</v>
      </c>
      <c r="G315" s="15">
        <v>68</v>
      </c>
      <c r="H315" s="20">
        <v>300</v>
      </c>
      <c r="I315" s="21">
        <v>20400</v>
      </c>
      <c r="J315" s="21">
        <v>225</v>
      </c>
      <c r="K315" s="21">
        <v>5100</v>
      </c>
      <c r="L315" s="30">
        <f>MT1_[[#This Row],[Profit]]/MT1_[[#This Row],[Total Sales]]</f>
        <v>0.25</v>
      </c>
    </row>
    <row r="316" spans="1:12" ht="15.6" x14ac:dyDescent="0.3">
      <c r="A316" s="15">
        <v>1316</v>
      </c>
      <c r="B316" s="14">
        <v>45308</v>
      </c>
      <c r="C316" s="18" t="s">
        <v>19</v>
      </c>
      <c r="D316" s="18" t="s">
        <v>12</v>
      </c>
      <c r="E316" s="18" t="s">
        <v>28</v>
      </c>
      <c r="F316" s="18" t="s">
        <v>27</v>
      </c>
      <c r="G316" s="15">
        <v>80</v>
      </c>
      <c r="H316" s="20">
        <v>50</v>
      </c>
      <c r="I316" s="21">
        <v>4000</v>
      </c>
      <c r="J316" s="21">
        <v>38</v>
      </c>
      <c r="K316" s="21">
        <v>960</v>
      </c>
      <c r="L316" s="30">
        <f>MT1_[[#This Row],[Profit]]/MT1_[[#This Row],[Total Sales]]</f>
        <v>0.24</v>
      </c>
    </row>
    <row r="317" spans="1:12" ht="15.6" x14ac:dyDescent="0.3">
      <c r="A317" s="15">
        <v>1317</v>
      </c>
      <c r="B317" s="14">
        <v>45316</v>
      </c>
      <c r="C317" s="18" t="s">
        <v>21</v>
      </c>
      <c r="D317" s="18" t="s">
        <v>32</v>
      </c>
      <c r="E317" s="18" t="s">
        <v>17</v>
      </c>
      <c r="F317" s="18" t="s">
        <v>27</v>
      </c>
      <c r="G317" s="15">
        <v>37</v>
      </c>
      <c r="H317" s="20">
        <v>250</v>
      </c>
      <c r="I317" s="21">
        <v>9250</v>
      </c>
      <c r="J317" s="21">
        <v>182.5</v>
      </c>
      <c r="K317" s="21">
        <v>2497.5</v>
      </c>
      <c r="L317" s="30">
        <f>MT1_[[#This Row],[Profit]]/MT1_[[#This Row],[Total Sales]]</f>
        <v>0.27</v>
      </c>
    </row>
    <row r="318" spans="1:12" ht="15.6" x14ac:dyDescent="0.3">
      <c r="A318" s="15">
        <v>1318</v>
      </c>
      <c r="B318" s="14">
        <v>45363</v>
      </c>
      <c r="C318" s="18" t="s">
        <v>11</v>
      </c>
      <c r="D318" s="18" t="s">
        <v>33</v>
      </c>
      <c r="E318" s="18" t="s">
        <v>13</v>
      </c>
      <c r="F318" s="18" t="s">
        <v>35</v>
      </c>
      <c r="G318" s="15">
        <v>95</v>
      </c>
      <c r="H318" s="20">
        <v>500</v>
      </c>
      <c r="I318" s="21">
        <v>47500</v>
      </c>
      <c r="J318" s="21">
        <v>395</v>
      </c>
      <c r="K318" s="21">
        <v>9975</v>
      </c>
      <c r="L318" s="30">
        <f>MT1_[[#This Row],[Profit]]/MT1_[[#This Row],[Total Sales]]</f>
        <v>0.21</v>
      </c>
    </row>
    <row r="319" spans="1:12" ht="15.6" x14ac:dyDescent="0.3">
      <c r="A319" s="15">
        <v>1319</v>
      </c>
      <c r="B319" s="14">
        <v>45342</v>
      </c>
      <c r="C319" s="18" t="s">
        <v>20</v>
      </c>
      <c r="D319" s="18" t="s">
        <v>12</v>
      </c>
      <c r="E319" s="18" t="s">
        <v>25</v>
      </c>
      <c r="F319" s="18" t="s">
        <v>31</v>
      </c>
      <c r="G319" s="15">
        <v>33</v>
      </c>
      <c r="H319" s="20">
        <v>300</v>
      </c>
      <c r="I319" s="21">
        <v>9900</v>
      </c>
      <c r="J319" s="21">
        <v>261</v>
      </c>
      <c r="K319" s="21">
        <v>1287</v>
      </c>
      <c r="L319" s="30">
        <f>MT1_[[#This Row],[Profit]]/MT1_[[#This Row],[Total Sales]]</f>
        <v>0.13</v>
      </c>
    </row>
    <row r="320" spans="1:12" ht="15.6" x14ac:dyDescent="0.3">
      <c r="A320" s="15">
        <v>1320</v>
      </c>
      <c r="B320" s="14">
        <v>45297</v>
      </c>
      <c r="C320" s="18" t="s">
        <v>19</v>
      </c>
      <c r="D320" s="18" t="s">
        <v>16</v>
      </c>
      <c r="E320" s="18" t="s">
        <v>25</v>
      </c>
      <c r="F320" s="18" t="s">
        <v>29</v>
      </c>
      <c r="G320" s="15">
        <v>30</v>
      </c>
      <c r="H320" s="20">
        <v>1200</v>
      </c>
      <c r="I320" s="21">
        <v>36000</v>
      </c>
      <c r="J320" s="21">
        <v>876</v>
      </c>
      <c r="K320" s="21">
        <v>9720</v>
      </c>
      <c r="L320" s="30">
        <f>MT1_[[#This Row],[Profit]]/MT1_[[#This Row],[Total Sales]]</f>
        <v>0.27</v>
      </c>
    </row>
    <row r="321" spans="1:12" ht="15.6" x14ac:dyDescent="0.3">
      <c r="A321" s="15">
        <v>1321</v>
      </c>
      <c r="B321" s="14">
        <v>45365</v>
      </c>
      <c r="C321" s="18" t="s">
        <v>21</v>
      </c>
      <c r="D321" s="18" t="s">
        <v>16</v>
      </c>
      <c r="E321" s="18" t="s">
        <v>17</v>
      </c>
      <c r="F321" s="18" t="s">
        <v>36</v>
      </c>
      <c r="G321" s="15">
        <v>42</v>
      </c>
      <c r="H321" s="20">
        <v>15000</v>
      </c>
      <c r="I321" s="21">
        <v>630000</v>
      </c>
      <c r="J321" s="21">
        <v>12450</v>
      </c>
      <c r="K321" s="21">
        <v>107100</v>
      </c>
      <c r="L321" s="30">
        <f>MT1_[[#This Row],[Profit]]/MT1_[[#This Row],[Total Sales]]</f>
        <v>0.17</v>
      </c>
    </row>
    <row r="322" spans="1:12" ht="15.6" x14ac:dyDescent="0.3">
      <c r="A322" s="15">
        <v>1322</v>
      </c>
      <c r="B322" s="14">
        <v>45299</v>
      </c>
      <c r="C322" s="18" t="s">
        <v>20</v>
      </c>
      <c r="D322" s="18" t="s">
        <v>34</v>
      </c>
      <c r="E322" s="18" t="s">
        <v>28</v>
      </c>
      <c r="F322" s="18" t="s">
        <v>18</v>
      </c>
      <c r="G322" s="15">
        <v>67</v>
      </c>
      <c r="H322" s="20">
        <v>15000</v>
      </c>
      <c r="I322" s="21">
        <v>1005000</v>
      </c>
      <c r="J322" s="21">
        <v>12150</v>
      </c>
      <c r="K322" s="21">
        <v>190950</v>
      </c>
      <c r="L322" s="30">
        <f>MT1_[[#This Row],[Profit]]/MT1_[[#This Row],[Total Sales]]</f>
        <v>0.19</v>
      </c>
    </row>
    <row r="323" spans="1:12" ht="15.6" x14ac:dyDescent="0.3">
      <c r="A323" s="15">
        <v>1323</v>
      </c>
      <c r="B323" s="14">
        <v>45362</v>
      </c>
      <c r="C323" s="18" t="s">
        <v>11</v>
      </c>
      <c r="D323" s="18" t="s">
        <v>33</v>
      </c>
      <c r="E323" s="18" t="s">
        <v>13</v>
      </c>
      <c r="F323" s="18" t="s">
        <v>36</v>
      </c>
      <c r="G323" s="15">
        <v>35</v>
      </c>
      <c r="H323" s="20">
        <v>250</v>
      </c>
      <c r="I323" s="21">
        <v>8750</v>
      </c>
      <c r="J323" s="21">
        <v>197.5</v>
      </c>
      <c r="K323" s="21">
        <v>1837.5</v>
      </c>
      <c r="L323" s="30">
        <f>MT1_[[#This Row],[Profit]]/MT1_[[#This Row],[Total Sales]]</f>
        <v>0.21</v>
      </c>
    </row>
    <row r="324" spans="1:12" ht="15.6" x14ac:dyDescent="0.3">
      <c r="A324" s="15">
        <v>1324</v>
      </c>
      <c r="B324" s="14">
        <v>45336</v>
      </c>
      <c r="C324" s="18" t="s">
        <v>21</v>
      </c>
      <c r="D324" s="18" t="s">
        <v>12</v>
      </c>
      <c r="E324" s="18" t="s">
        <v>25</v>
      </c>
      <c r="F324" s="18" t="s">
        <v>35</v>
      </c>
      <c r="G324" s="15">
        <v>33</v>
      </c>
      <c r="H324" s="20">
        <v>150</v>
      </c>
      <c r="I324" s="21">
        <v>4950</v>
      </c>
      <c r="J324" s="21">
        <v>115.5</v>
      </c>
      <c r="K324" s="21">
        <v>1138.5</v>
      </c>
      <c r="L324" s="30">
        <f>MT1_[[#This Row],[Profit]]/MT1_[[#This Row],[Total Sales]]</f>
        <v>0.23</v>
      </c>
    </row>
    <row r="325" spans="1:12" ht="15.6" x14ac:dyDescent="0.3">
      <c r="A325" s="15">
        <v>1325</v>
      </c>
      <c r="B325" s="14">
        <v>45312</v>
      </c>
      <c r="C325" s="18" t="s">
        <v>19</v>
      </c>
      <c r="D325" s="18" t="s">
        <v>32</v>
      </c>
      <c r="E325" s="18" t="s">
        <v>30</v>
      </c>
      <c r="F325" s="18" t="s">
        <v>29</v>
      </c>
      <c r="G325" s="15">
        <v>8</v>
      </c>
      <c r="H325" s="20">
        <v>900</v>
      </c>
      <c r="I325" s="21">
        <v>7200</v>
      </c>
      <c r="J325" s="21">
        <v>684</v>
      </c>
      <c r="K325" s="21">
        <v>1728</v>
      </c>
      <c r="L325" s="30">
        <f>MT1_[[#This Row],[Profit]]/MT1_[[#This Row],[Total Sales]]</f>
        <v>0.24</v>
      </c>
    </row>
    <row r="326" spans="1:12" ht="15.6" x14ac:dyDescent="0.3">
      <c r="A326" s="15">
        <v>1326</v>
      </c>
      <c r="B326" s="14">
        <v>45340</v>
      </c>
      <c r="C326" s="18" t="s">
        <v>21</v>
      </c>
      <c r="D326" s="18" t="s">
        <v>16</v>
      </c>
      <c r="E326" s="18" t="s">
        <v>25</v>
      </c>
      <c r="F326" s="18" t="s">
        <v>27</v>
      </c>
      <c r="G326" s="15">
        <v>70</v>
      </c>
      <c r="H326" s="20">
        <v>1200</v>
      </c>
      <c r="I326" s="21">
        <v>84000</v>
      </c>
      <c r="J326" s="21">
        <v>960</v>
      </c>
      <c r="K326" s="21">
        <v>16800</v>
      </c>
      <c r="L326" s="30">
        <f>MT1_[[#This Row],[Profit]]/MT1_[[#This Row],[Total Sales]]</f>
        <v>0.2</v>
      </c>
    </row>
    <row r="327" spans="1:12" ht="15.6" x14ac:dyDescent="0.3">
      <c r="A327" s="15">
        <v>1327</v>
      </c>
      <c r="B327" s="14">
        <v>45351</v>
      </c>
      <c r="C327" s="18" t="s">
        <v>11</v>
      </c>
      <c r="D327" s="18" t="s">
        <v>12</v>
      </c>
      <c r="E327" s="18" t="s">
        <v>13</v>
      </c>
      <c r="F327" s="18" t="s">
        <v>35</v>
      </c>
      <c r="G327" s="15">
        <v>58</v>
      </c>
      <c r="H327" s="20">
        <v>150</v>
      </c>
      <c r="I327" s="21">
        <v>8700</v>
      </c>
      <c r="J327" s="21">
        <v>117</v>
      </c>
      <c r="K327" s="21">
        <v>1914</v>
      </c>
      <c r="L327" s="30">
        <f>MT1_[[#This Row],[Profit]]/MT1_[[#This Row],[Total Sales]]</f>
        <v>0.22</v>
      </c>
    </row>
    <row r="328" spans="1:12" ht="15.6" x14ac:dyDescent="0.3">
      <c r="A328" s="15">
        <v>1328</v>
      </c>
      <c r="B328" s="14">
        <v>45326</v>
      </c>
      <c r="C328" s="18" t="s">
        <v>15</v>
      </c>
      <c r="D328" s="18" t="s">
        <v>32</v>
      </c>
      <c r="E328" s="18" t="s">
        <v>13</v>
      </c>
      <c r="F328" s="18" t="s">
        <v>27</v>
      </c>
      <c r="G328" s="15">
        <v>70</v>
      </c>
      <c r="H328" s="20">
        <v>250</v>
      </c>
      <c r="I328" s="21">
        <v>17500</v>
      </c>
      <c r="J328" s="21">
        <v>212.5</v>
      </c>
      <c r="K328" s="21">
        <v>2625</v>
      </c>
      <c r="L328" s="30">
        <f>MT1_[[#This Row],[Profit]]/MT1_[[#This Row],[Total Sales]]</f>
        <v>0.15</v>
      </c>
    </row>
    <row r="329" spans="1:12" ht="15.6" x14ac:dyDescent="0.3">
      <c r="A329" s="15">
        <v>1329</v>
      </c>
      <c r="B329" s="14">
        <v>45374</v>
      </c>
      <c r="C329" s="18" t="s">
        <v>20</v>
      </c>
      <c r="D329" s="18" t="s">
        <v>33</v>
      </c>
      <c r="E329" s="18" t="s">
        <v>17</v>
      </c>
      <c r="F329" s="18" t="s">
        <v>24</v>
      </c>
      <c r="G329" s="15">
        <v>78</v>
      </c>
      <c r="H329" s="20">
        <v>150</v>
      </c>
      <c r="I329" s="21">
        <v>11700</v>
      </c>
      <c r="J329" s="21">
        <v>135</v>
      </c>
      <c r="K329" s="21">
        <v>1170</v>
      </c>
      <c r="L329" s="30">
        <f>MT1_[[#This Row],[Profit]]/MT1_[[#This Row],[Total Sales]]</f>
        <v>0.1</v>
      </c>
    </row>
    <row r="330" spans="1:12" ht="15.6" x14ac:dyDescent="0.3">
      <c r="A330" s="15">
        <v>1330</v>
      </c>
      <c r="B330" s="14">
        <v>45326</v>
      </c>
      <c r="C330" s="18" t="s">
        <v>19</v>
      </c>
      <c r="D330" s="18" t="s">
        <v>33</v>
      </c>
      <c r="E330" s="18" t="s">
        <v>30</v>
      </c>
      <c r="F330" s="18" t="s">
        <v>35</v>
      </c>
      <c r="G330" s="15">
        <v>23</v>
      </c>
      <c r="H330" s="20">
        <v>50</v>
      </c>
      <c r="I330" s="21">
        <v>1150</v>
      </c>
      <c r="J330" s="21">
        <v>44</v>
      </c>
      <c r="K330" s="21">
        <v>138</v>
      </c>
      <c r="L330" s="30">
        <f>MT1_[[#This Row],[Profit]]/MT1_[[#This Row],[Total Sales]]</f>
        <v>0.12</v>
      </c>
    </row>
    <row r="331" spans="1:12" ht="15.6" x14ac:dyDescent="0.3">
      <c r="A331" s="15">
        <v>1331</v>
      </c>
      <c r="B331" s="14">
        <v>45307</v>
      </c>
      <c r="C331" s="18" t="s">
        <v>20</v>
      </c>
      <c r="D331" s="18" t="s">
        <v>16</v>
      </c>
      <c r="E331" s="18" t="s">
        <v>13</v>
      </c>
      <c r="F331" s="18" t="s">
        <v>29</v>
      </c>
      <c r="G331" s="15">
        <v>4</v>
      </c>
      <c r="H331" s="20">
        <v>900</v>
      </c>
      <c r="I331" s="21">
        <v>3600</v>
      </c>
      <c r="J331" s="21">
        <v>801</v>
      </c>
      <c r="K331" s="21">
        <v>396</v>
      </c>
      <c r="L331" s="30">
        <f>MT1_[[#This Row],[Profit]]/MT1_[[#This Row],[Total Sales]]</f>
        <v>0.11</v>
      </c>
    </row>
    <row r="332" spans="1:12" ht="15.6" x14ac:dyDescent="0.3">
      <c r="A332" s="15">
        <v>1332</v>
      </c>
      <c r="B332" s="14">
        <v>45323</v>
      </c>
      <c r="C332" s="18" t="s">
        <v>11</v>
      </c>
      <c r="D332" s="18" t="s">
        <v>16</v>
      </c>
      <c r="E332" s="18" t="s">
        <v>13</v>
      </c>
      <c r="F332" s="18" t="s">
        <v>24</v>
      </c>
      <c r="G332" s="15">
        <v>81</v>
      </c>
      <c r="H332" s="20">
        <v>30000</v>
      </c>
      <c r="I332" s="21">
        <v>2430000</v>
      </c>
      <c r="J332" s="21">
        <v>21000</v>
      </c>
      <c r="K332" s="21">
        <v>729000</v>
      </c>
      <c r="L332" s="30">
        <f>MT1_[[#This Row],[Profit]]/MT1_[[#This Row],[Total Sales]]</f>
        <v>0.3</v>
      </c>
    </row>
    <row r="333" spans="1:12" ht="15.6" x14ac:dyDescent="0.3">
      <c r="A333" s="15">
        <v>1333</v>
      </c>
      <c r="B333" s="14">
        <v>45379</v>
      </c>
      <c r="C333" s="18" t="s">
        <v>19</v>
      </c>
      <c r="D333" s="18" t="s">
        <v>32</v>
      </c>
      <c r="E333" s="18" t="s">
        <v>25</v>
      </c>
      <c r="F333" s="18" t="s">
        <v>26</v>
      </c>
      <c r="G333" s="15">
        <v>9</v>
      </c>
      <c r="H333" s="20">
        <v>150</v>
      </c>
      <c r="I333" s="21">
        <v>1350</v>
      </c>
      <c r="J333" s="21">
        <v>117</v>
      </c>
      <c r="K333" s="21">
        <v>297</v>
      </c>
      <c r="L333" s="30">
        <f>MT1_[[#This Row],[Profit]]/MT1_[[#This Row],[Total Sales]]</f>
        <v>0.22</v>
      </c>
    </row>
    <row r="334" spans="1:12" ht="15.6" x14ac:dyDescent="0.3">
      <c r="A334" s="15">
        <v>1334</v>
      </c>
      <c r="B334" s="14">
        <v>45303</v>
      </c>
      <c r="C334" s="18" t="s">
        <v>21</v>
      </c>
      <c r="D334" s="18" t="s">
        <v>16</v>
      </c>
      <c r="E334" s="18" t="s">
        <v>13</v>
      </c>
      <c r="F334" s="18" t="s">
        <v>35</v>
      </c>
      <c r="G334" s="15">
        <v>85</v>
      </c>
      <c r="H334" s="20">
        <v>500</v>
      </c>
      <c r="I334" s="21">
        <v>42500</v>
      </c>
      <c r="J334" s="21">
        <v>365</v>
      </c>
      <c r="K334" s="21">
        <v>11475</v>
      </c>
      <c r="L334" s="30">
        <f>MT1_[[#This Row],[Profit]]/MT1_[[#This Row],[Total Sales]]</f>
        <v>0.27</v>
      </c>
    </row>
    <row r="335" spans="1:12" ht="15.6" x14ac:dyDescent="0.3">
      <c r="A335" s="15">
        <v>1334</v>
      </c>
      <c r="B335" s="14">
        <v>45367</v>
      </c>
      <c r="C335" s="18" t="s">
        <v>11</v>
      </c>
      <c r="D335" s="18" t="s">
        <v>33</v>
      </c>
      <c r="E335" s="18" t="s">
        <v>30</v>
      </c>
      <c r="F335" s="18" t="s">
        <v>24</v>
      </c>
      <c r="G335" s="15">
        <v>11</v>
      </c>
      <c r="H335" s="20">
        <v>900</v>
      </c>
      <c r="I335" s="21">
        <v>9900</v>
      </c>
      <c r="J335" s="21">
        <v>666</v>
      </c>
      <c r="K335" s="21">
        <v>2574</v>
      </c>
      <c r="L335" s="30">
        <f>MT1_[[#This Row],[Profit]]/MT1_[[#This Row],[Total Sales]]</f>
        <v>0.26</v>
      </c>
    </row>
    <row r="336" spans="1:12" ht="15.6" x14ac:dyDescent="0.3">
      <c r="A336" s="15">
        <v>1336</v>
      </c>
      <c r="B336" s="14">
        <v>45380</v>
      </c>
      <c r="C336" s="18" t="s">
        <v>19</v>
      </c>
      <c r="D336" s="18" t="s">
        <v>33</v>
      </c>
      <c r="E336" s="18" t="s">
        <v>30</v>
      </c>
      <c r="F336" s="18" t="s">
        <v>24</v>
      </c>
      <c r="G336" s="15">
        <v>100</v>
      </c>
      <c r="H336" s="20">
        <v>50</v>
      </c>
      <c r="I336" s="21">
        <v>5000</v>
      </c>
      <c r="J336" s="21">
        <v>35</v>
      </c>
      <c r="K336" s="21">
        <v>1500</v>
      </c>
      <c r="L336" s="30">
        <f>MT1_[[#This Row],[Profit]]/MT1_[[#This Row],[Total Sales]]</f>
        <v>0.3</v>
      </c>
    </row>
    <row r="337" spans="1:12" ht="15.6" x14ac:dyDescent="0.3">
      <c r="A337" s="15">
        <v>1337</v>
      </c>
      <c r="B337" s="14">
        <v>45329</v>
      </c>
      <c r="C337" s="18" t="s">
        <v>20</v>
      </c>
      <c r="D337" s="18" t="s">
        <v>16</v>
      </c>
      <c r="E337" s="18" t="s">
        <v>28</v>
      </c>
      <c r="F337" s="18" t="s">
        <v>14</v>
      </c>
      <c r="G337" s="15">
        <v>100</v>
      </c>
      <c r="H337" s="20">
        <v>30000</v>
      </c>
      <c r="I337" s="21">
        <v>3000000</v>
      </c>
      <c r="J337" s="21">
        <v>24600</v>
      </c>
      <c r="K337" s="21">
        <v>540000</v>
      </c>
      <c r="L337" s="30">
        <f>MT1_[[#This Row],[Profit]]/MT1_[[#This Row],[Total Sales]]</f>
        <v>0.18</v>
      </c>
    </row>
    <row r="338" spans="1:12" ht="15.6" x14ac:dyDescent="0.3">
      <c r="A338" s="15">
        <v>1338</v>
      </c>
      <c r="B338" s="14">
        <v>45319</v>
      </c>
      <c r="C338" s="18" t="s">
        <v>15</v>
      </c>
      <c r="D338" s="18" t="s">
        <v>16</v>
      </c>
      <c r="E338" s="18" t="s">
        <v>28</v>
      </c>
      <c r="F338" s="18" t="s">
        <v>18</v>
      </c>
      <c r="G338" s="15">
        <v>68</v>
      </c>
      <c r="H338" s="20">
        <v>250</v>
      </c>
      <c r="I338" s="21">
        <v>17000</v>
      </c>
      <c r="J338" s="21">
        <v>175</v>
      </c>
      <c r="K338" s="21">
        <v>5100</v>
      </c>
      <c r="L338" s="30">
        <f>MT1_[[#This Row],[Profit]]/MT1_[[#This Row],[Total Sales]]</f>
        <v>0.3</v>
      </c>
    </row>
    <row r="339" spans="1:12" ht="15.6" x14ac:dyDescent="0.3">
      <c r="A339" s="15">
        <v>1339</v>
      </c>
      <c r="B339" s="14">
        <v>45351</v>
      </c>
      <c r="C339" s="18" t="s">
        <v>15</v>
      </c>
      <c r="D339" s="18" t="s">
        <v>32</v>
      </c>
      <c r="E339" s="18" t="s">
        <v>25</v>
      </c>
      <c r="F339" s="18" t="s">
        <v>24</v>
      </c>
      <c r="G339" s="15">
        <v>66</v>
      </c>
      <c r="H339" s="20">
        <v>15000</v>
      </c>
      <c r="I339" s="21">
        <v>990000</v>
      </c>
      <c r="J339" s="21">
        <v>13050</v>
      </c>
      <c r="K339" s="21">
        <v>128700</v>
      </c>
      <c r="L339" s="30">
        <f>MT1_[[#This Row],[Profit]]/MT1_[[#This Row],[Total Sales]]</f>
        <v>0.13</v>
      </c>
    </row>
    <row r="340" spans="1:12" ht="15.6" x14ac:dyDescent="0.3">
      <c r="A340" s="15">
        <v>1340</v>
      </c>
      <c r="B340" s="14">
        <v>45331</v>
      </c>
      <c r="C340" s="18" t="s">
        <v>20</v>
      </c>
      <c r="D340" s="18" t="s">
        <v>16</v>
      </c>
      <c r="E340" s="18" t="s">
        <v>17</v>
      </c>
      <c r="F340" s="18" t="s">
        <v>35</v>
      </c>
      <c r="G340" s="15">
        <v>43</v>
      </c>
      <c r="H340" s="20">
        <v>300</v>
      </c>
      <c r="I340" s="21">
        <v>12900</v>
      </c>
      <c r="J340" s="21">
        <v>270</v>
      </c>
      <c r="K340" s="21">
        <v>1290</v>
      </c>
      <c r="L340" s="30">
        <f>MT1_[[#This Row],[Profit]]/MT1_[[#This Row],[Total Sales]]</f>
        <v>0.1</v>
      </c>
    </row>
    <row r="341" spans="1:12" ht="15.6" x14ac:dyDescent="0.3">
      <c r="A341" s="15">
        <v>1341</v>
      </c>
      <c r="B341" s="14">
        <v>45292</v>
      </c>
      <c r="C341" s="18" t="s">
        <v>21</v>
      </c>
      <c r="D341" s="18" t="s">
        <v>32</v>
      </c>
      <c r="E341" s="18" t="s">
        <v>13</v>
      </c>
      <c r="F341" s="18" t="s">
        <v>24</v>
      </c>
      <c r="G341" s="15">
        <v>68</v>
      </c>
      <c r="H341" s="20">
        <v>300</v>
      </c>
      <c r="I341" s="21">
        <v>20400</v>
      </c>
      <c r="J341" s="21">
        <v>231</v>
      </c>
      <c r="K341" s="21">
        <v>4692</v>
      </c>
      <c r="L341" s="30">
        <f>MT1_[[#This Row],[Profit]]/MT1_[[#This Row],[Total Sales]]</f>
        <v>0.23</v>
      </c>
    </row>
    <row r="342" spans="1:12" ht="15.6" x14ac:dyDescent="0.3">
      <c r="A342" s="15">
        <v>1342</v>
      </c>
      <c r="B342" s="14">
        <v>45373</v>
      </c>
      <c r="C342" s="18" t="s">
        <v>19</v>
      </c>
      <c r="D342" s="18" t="s">
        <v>32</v>
      </c>
      <c r="E342" s="18" t="s">
        <v>28</v>
      </c>
      <c r="F342" s="18" t="s">
        <v>29</v>
      </c>
      <c r="G342" s="15">
        <v>87</v>
      </c>
      <c r="H342" s="20">
        <v>250</v>
      </c>
      <c r="I342" s="21">
        <v>21750</v>
      </c>
      <c r="J342" s="21">
        <v>207.5</v>
      </c>
      <c r="K342" s="21">
        <v>3697.5</v>
      </c>
      <c r="L342" s="30">
        <f>MT1_[[#This Row],[Profit]]/MT1_[[#This Row],[Total Sales]]</f>
        <v>0.17</v>
      </c>
    </row>
    <row r="343" spans="1:12" ht="15.6" x14ac:dyDescent="0.3">
      <c r="A343" s="15">
        <v>1343</v>
      </c>
      <c r="B343" s="14">
        <v>45358</v>
      </c>
      <c r="C343" s="18" t="s">
        <v>11</v>
      </c>
      <c r="D343" s="18" t="s">
        <v>34</v>
      </c>
      <c r="E343" s="18" t="s">
        <v>28</v>
      </c>
      <c r="F343" s="18" t="s">
        <v>31</v>
      </c>
      <c r="G343" s="15">
        <v>77</v>
      </c>
      <c r="H343" s="20">
        <v>30000</v>
      </c>
      <c r="I343" s="21">
        <v>2310000</v>
      </c>
      <c r="J343" s="21">
        <v>21000</v>
      </c>
      <c r="K343" s="21">
        <v>693000</v>
      </c>
      <c r="L343" s="30">
        <f>MT1_[[#This Row],[Profit]]/MT1_[[#This Row],[Total Sales]]</f>
        <v>0.3</v>
      </c>
    </row>
    <row r="344" spans="1:12" ht="15.6" x14ac:dyDescent="0.3">
      <c r="A344" s="15">
        <v>1344</v>
      </c>
      <c r="B344" s="14">
        <v>45311</v>
      </c>
      <c r="C344" s="18" t="s">
        <v>11</v>
      </c>
      <c r="D344" s="18" t="s">
        <v>33</v>
      </c>
      <c r="E344" s="18" t="s">
        <v>25</v>
      </c>
      <c r="F344" s="18" t="s">
        <v>18</v>
      </c>
      <c r="G344" s="15">
        <v>2</v>
      </c>
      <c r="H344" s="20">
        <v>300</v>
      </c>
      <c r="I344" s="21">
        <v>600</v>
      </c>
      <c r="J344" s="21">
        <v>222</v>
      </c>
      <c r="K344" s="21">
        <v>156</v>
      </c>
      <c r="L344" s="30">
        <f>MT1_[[#This Row],[Profit]]/MT1_[[#This Row],[Total Sales]]</f>
        <v>0.26</v>
      </c>
    </row>
    <row r="345" spans="1:12" ht="15.6" x14ac:dyDescent="0.3">
      <c r="A345" s="15">
        <v>1345</v>
      </c>
      <c r="B345" s="14">
        <v>45330</v>
      </c>
      <c r="C345" s="18" t="s">
        <v>21</v>
      </c>
      <c r="D345" s="18" t="s">
        <v>32</v>
      </c>
      <c r="E345" s="18" t="s">
        <v>30</v>
      </c>
      <c r="F345" s="18" t="s">
        <v>36</v>
      </c>
      <c r="G345" s="15">
        <v>12</v>
      </c>
      <c r="H345" s="20">
        <v>700</v>
      </c>
      <c r="I345" s="21">
        <v>8400</v>
      </c>
      <c r="J345" s="21">
        <v>609</v>
      </c>
      <c r="K345" s="21">
        <v>1092</v>
      </c>
      <c r="L345" s="30">
        <f>MT1_[[#This Row],[Profit]]/MT1_[[#This Row],[Total Sales]]</f>
        <v>0.13</v>
      </c>
    </row>
    <row r="346" spans="1:12" ht="15.6" x14ac:dyDescent="0.3">
      <c r="A346" s="15">
        <v>1346</v>
      </c>
      <c r="B346" s="14">
        <v>45302</v>
      </c>
      <c r="C346" s="18" t="s">
        <v>19</v>
      </c>
      <c r="D346" s="18" t="s">
        <v>12</v>
      </c>
      <c r="E346" s="18" t="s">
        <v>25</v>
      </c>
      <c r="F346" s="18" t="s">
        <v>14</v>
      </c>
      <c r="G346" s="15">
        <v>30</v>
      </c>
      <c r="H346" s="20">
        <v>300</v>
      </c>
      <c r="I346" s="21">
        <v>9000</v>
      </c>
      <c r="J346" s="21">
        <v>213</v>
      </c>
      <c r="K346" s="21">
        <v>2610</v>
      </c>
      <c r="L346" s="30">
        <f>MT1_[[#This Row],[Profit]]/MT1_[[#This Row],[Total Sales]]</f>
        <v>0.28999999999999998</v>
      </c>
    </row>
    <row r="347" spans="1:12" ht="15.6" x14ac:dyDescent="0.3">
      <c r="A347" s="15">
        <v>1347</v>
      </c>
      <c r="B347" s="14">
        <v>45344</v>
      </c>
      <c r="C347" s="18" t="s">
        <v>11</v>
      </c>
      <c r="D347" s="18" t="s">
        <v>32</v>
      </c>
      <c r="E347" s="18" t="s">
        <v>17</v>
      </c>
      <c r="F347" s="18" t="s">
        <v>35</v>
      </c>
      <c r="G347" s="15">
        <v>78</v>
      </c>
      <c r="H347" s="20">
        <v>300</v>
      </c>
      <c r="I347" s="21">
        <v>23400</v>
      </c>
      <c r="J347" s="21">
        <v>243</v>
      </c>
      <c r="K347" s="21">
        <v>4446</v>
      </c>
      <c r="L347" s="30">
        <f>MT1_[[#This Row],[Profit]]/MT1_[[#This Row],[Total Sales]]</f>
        <v>0.19</v>
      </c>
    </row>
    <row r="348" spans="1:12" ht="15.6" x14ac:dyDescent="0.3">
      <c r="A348" s="15">
        <v>1348</v>
      </c>
      <c r="B348" s="14">
        <v>45326</v>
      </c>
      <c r="C348" s="18" t="s">
        <v>20</v>
      </c>
      <c r="D348" s="18" t="s">
        <v>34</v>
      </c>
      <c r="E348" s="18" t="s">
        <v>25</v>
      </c>
      <c r="F348" s="18" t="s">
        <v>14</v>
      </c>
      <c r="G348" s="15">
        <v>80</v>
      </c>
      <c r="H348" s="20">
        <v>500</v>
      </c>
      <c r="I348" s="21">
        <v>40000</v>
      </c>
      <c r="J348" s="21">
        <v>415</v>
      </c>
      <c r="K348" s="21">
        <v>6800</v>
      </c>
      <c r="L348" s="30">
        <f>MT1_[[#This Row],[Profit]]/MT1_[[#This Row],[Total Sales]]</f>
        <v>0.17</v>
      </c>
    </row>
    <row r="349" spans="1:12" ht="15.6" x14ac:dyDescent="0.3">
      <c r="A349" s="15">
        <v>1349</v>
      </c>
      <c r="B349" s="14">
        <v>45306</v>
      </c>
      <c r="C349" s="18" t="s">
        <v>11</v>
      </c>
      <c r="D349" s="18" t="s">
        <v>32</v>
      </c>
      <c r="E349" s="18" t="s">
        <v>17</v>
      </c>
      <c r="F349" s="18" t="s">
        <v>18</v>
      </c>
      <c r="G349" s="15">
        <v>76</v>
      </c>
      <c r="H349" s="20">
        <v>900</v>
      </c>
      <c r="I349" s="21">
        <v>68400</v>
      </c>
      <c r="J349" s="21">
        <v>810</v>
      </c>
      <c r="K349" s="21">
        <v>6840</v>
      </c>
      <c r="L349" s="30">
        <f>MT1_[[#This Row],[Profit]]/MT1_[[#This Row],[Total Sales]]</f>
        <v>0.1</v>
      </c>
    </row>
    <row r="350" spans="1:12" ht="15.6" x14ac:dyDescent="0.3">
      <c r="A350" s="15">
        <v>1350</v>
      </c>
      <c r="B350" s="14">
        <v>45354</v>
      </c>
      <c r="C350" s="18" t="s">
        <v>20</v>
      </c>
      <c r="D350" s="18" t="s">
        <v>34</v>
      </c>
      <c r="E350" s="18" t="s">
        <v>25</v>
      </c>
      <c r="F350" s="18" t="s">
        <v>24</v>
      </c>
      <c r="G350" s="15">
        <v>49</v>
      </c>
      <c r="H350" s="20">
        <v>15000</v>
      </c>
      <c r="I350" s="21">
        <v>735000</v>
      </c>
      <c r="J350" s="21">
        <v>11850</v>
      </c>
      <c r="K350" s="21">
        <v>154350</v>
      </c>
      <c r="L350" s="30">
        <f>MT1_[[#This Row],[Profit]]/MT1_[[#This Row],[Total Sales]]</f>
        <v>0.21</v>
      </c>
    </row>
    <row r="351" spans="1:12" ht="15.6" x14ac:dyDescent="0.3">
      <c r="A351" s="15">
        <v>1351</v>
      </c>
      <c r="B351" s="14">
        <v>45347</v>
      </c>
      <c r="C351" s="18" t="s">
        <v>19</v>
      </c>
      <c r="D351" s="18" t="s">
        <v>16</v>
      </c>
      <c r="E351" s="18" t="s">
        <v>28</v>
      </c>
      <c r="F351" s="18" t="s">
        <v>27</v>
      </c>
      <c r="G351" s="15">
        <v>77</v>
      </c>
      <c r="H351" s="20">
        <v>700</v>
      </c>
      <c r="I351" s="21">
        <v>53900</v>
      </c>
      <c r="J351" s="21">
        <v>616</v>
      </c>
      <c r="K351" s="21">
        <v>6468</v>
      </c>
      <c r="L351" s="30">
        <f>MT1_[[#This Row],[Profit]]/MT1_[[#This Row],[Total Sales]]</f>
        <v>0.12</v>
      </c>
    </row>
    <row r="352" spans="1:12" ht="15.6" x14ac:dyDescent="0.3">
      <c r="A352" s="15">
        <v>1352</v>
      </c>
      <c r="B352" s="14">
        <v>45375</v>
      </c>
      <c r="C352" s="18" t="s">
        <v>11</v>
      </c>
      <c r="D352" s="18" t="s">
        <v>16</v>
      </c>
      <c r="E352" s="18" t="s">
        <v>13</v>
      </c>
      <c r="F352" s="18" t="s">
        <v>18</v>
      </c>
      <c r="G352" s="15">
        <v>73</v>
      </c>
      <c r="H352" s="20">
        <v>150</v>
      </c>
      <c r="I352" s="21">
        <v>10950</v>
      </c>
      <c r="J352" s="21">
        <v>135</v>
      </c>
      <c r="K352" s="21">
        <v>1095</v>
      </c>
      <c r="L352" s="30">
        <f>MT1_[[#This Row],[Profit]]/MT1_[[#This Row],[Total Sales]]</f>
        <v>0.1</v>
      </c>
    </row>
    <row r="353" spans="1:12" ht="15.6" x14ac:dyDescent="0.3">
      <c r="A353" s="15">
        <v>1353</v>
      </c>
      <c r="B353" s="14">
        <v>45381</v>
      </c>
      <c r="C353" s="18" t="s">
        <v>19</v>
      </c>
      <c r="D353" s="18" t="s">
        <v>12</v>
      </c>
      <c r="E353" s="18" t="s">
        <v>28</v>
      </c>
      <c r="F353" s="18" t="s">
        <v>18</v>
      </c>
      <c r="G353" s="15">
        <v>93</v>
      </c>
      <c r="H353" s="20">
        <v>300</v>
      </c>
      <c r="I353" s="21">
        <v>27900</v>
      </c>
      <c r="J353" s="21">
        <v>246</v>
      </c>
      <c r="K353" s="21">
        <v>5022</v>
      </c>
      <c r="L353" s="30">
        <f>MT1_[[#This Row],[Profit]]/MT1_[[#This Row],[Total Sales]]</f>
        <v>0.18</v>
      </c>
    </row>
    <row r="354" spans="1:12" ht="15.6" x14ac:dyDescent="0.3">
      <c r="A354" s="15">
        <v>1354</v>
      </c>
      <c r="B354" s="14">
        <v>45331</v>
      </c>
      <c r="C354" s="18" t="s">
        <v>19</v>
      </c>
      <c r="D354" s="18" t="s">
        <v>12</v>
      </c>
      <c r="E354" s="18" t="s">
        <v>17</v>
      </c>
      <c r="F354" s="18" t="s">
        <v>29</v>
      </c>
      <c r="G354" s="15">
        <v>83</v>
      </c>
      <c r="H354" s="20">
        <v>700</v>
      </c>
      <c r="I354" s="21">
        <v>58100</v>
      </c>
      <c r="J354" s="21">
        <v>602</v>
      </c>
      <c r="K354" s="21">
        <v>8134</v>
      </c>
      <c r="L354" s="30">
        <f>MT1_[[#This Row],[Profit]]/MT1_[[#This Row],[Total Sales]]</f>
        <v>0.14000000000000001</v>
      </c>
    </row>
    <row r="355" spans="1:12" ht="15.6" x14ac:dyDescent="0.3">
      <c r="A355" s="15">
        <v>1355</v>
      </c>
      <c r="B355" s="14">
        <v>45309</v>
      </c>
      <c r="C355" s="18" t="s">
        <v>21</v>
      </c>
      <c r="D355" s="18" t="s">
        <v>34</v>
      </c>
      <c r="E355" s="18" t="s">
        <v>28</v>
      </c>
      <c r="F355" s="18" t="s">
        <v>27</v>
      </c>
      <c r="G355" s="15">
        <v>57</v>
      </c>
      <c r="H355" s="20">
        <v>50</v>
      </c>
      <c r="I355" s="21">
        <v>2850</v>
      </c>
      <c r="J355" s="21">
        <v>44</v>
      </c>
      <c r="K355" s="21">
        <v>342</v>
      </c>
      <c r="L355" s="30">
        <f>MT1_[[#This Row],[Profit]]/MT1_[[#This Row],[Total Sales]]</f>
        <v>0.12</v>
      </c>
    </row>
    <row r="356" spans="1:12" ht="15.6" x14ac:dyDescent="0.3">
      <c r="A356" s="15">
        <v>1356</v>
      </c>
      <c r="B356" s="14">
        <v>45374</v>
      </c>
      <c r="C356" s="18" t="s">
        <v>11</v>
      </c>
      <c r="D356" s="18" t="s">
        <v>16</v>
      </c>
      <c r="E356" s="18" t="s">
        <v>13</v>
      </c>
      <c r="F356" s="18" t="s">
        <v>27</v>
      </c>
      <c r="G356" s="15">
        <v>32</v>
      </c>
      <c r="H356" s="20">
        <v>50</v>
      </c>
      <c r="I356" s="21">
        <v>1600</v>
      </c>
      <c r="J356" s="21">
        <v>39</v>
      </c>
      <c r="K356" s="21">
        <v>352</v>
      </c>
      <c r="L356" s="30">
        <f>MT1_[[#This Row],[Profit]]/MT1_[[#This Row],[Total Sales]]</f>
        <v>0.22</v>
      </c>
    </row>
    <row r="357" spans="1:12" ht="15.6" x14ac:dyDescent="0.3">
      <c r="A357" s="15">
        <v>1357</v>
      </c>
      <c r="B357" s="14">
        <v>45329</v>
      </c>
      <c r="C357" s="18" t="s">
        <v>21</v>
      </c>
      <c r="D357" s="18" t="s">
        <v>33</v>
      </c>
      <c r="E357" s="18" t="s">
        <v>17</v>
      </c>
      <c r="F357" s="18" t="s">
        <v>29</v>
      </c>
      <c r="G357" s="15">
        <v>66</v>
      </c>
      <c r="H357" s="20">
        <v>900</v>
      </c>
      <c r="I357" s="21">
        <v>59400</v>
      </c>
      <c r="J357" s="21">
        <v>711</v>
      </c>
      <c r="K357" s="21">
        <v>12474</v>
      </c>
      <c r="L357" s="30">
        <f>MT1_[[#This Row],[Profit]]/MT1_[[#This Row],[Total Sales]]</f>
        <v>0.21</v>
      </c>
    </row>
    <row r="358" spans="1:12" ht="15.6" x14ac:dyDescent="0.3">
      <c r="A358" s="15">
        <v>1358</v>
      </c>
      <c r="B358" s="14">
        <v>45293</v>
      </c>
      <c r="C358" s="18" t="s">
        <v>11</v>
      </c>
      <c r="D358" s="18" t="s">
        <v>32</v>
      </c>
      <c r="E358" s="18" t="s">
        <v>13</v>
      </c>
      <c r="F358" s="18" t="s">
        <v>31</v>
      </c>
      <c r="G358" s="15">
        <v>59</v>
      </c>
      <c r="H358" s="20">
        <v>15000</v>
      </c>
      <c r="I358" s="21">
        <v>885000</v>
      </c>
      <c r="J358" s="21">
        <v>12600</v>
      </c>
      <c r="K358" s="21">
        <v>141600</v>
      </c>
      <c r="L358" s="30">
        <f>MT1_[[#This Row],[Profit]]/MT1_[[#This Row],[Total Sales]]</f>
        <v>0.16</v>
      </c>
    </row>
    <row r="359" spans="1:12" ht="15.6" x14ac:dyDescent="0.3">
      <c r="A359" s="15">
        <v>1359</v>
      </c>
      <c r="B359" s="14">
        <v>45328</v>
      </c>
      <c r="C359" s="18" t="s">
        <v>21</v>
      </c>
      <c r="D359" s="18" t="s">
        <v>16</v>
      </c>
      <c r="E359" s="18" t="s">
        <v>28</v>
      </c>
      <c r="F359" s="18" t="s">
        <v>27</v>
      </c>
      <c r="G359" s="15">
        <v>21</v>
      </c>
      <c r="H359" s="20">
        <v>15000</v>
      </c>
      <c r="I359" s="21">
        <v>315000</v>
      </c>
      <c r="J359" s="21">
        <v>12000</v>
      </c>
      <c r="K359" s="21">
        <v>63000</v>
      </c>
      <c r="L359" s="30">
        <f>MT1_[[#This Row],[Profit]]/MT1_[[#This Row],[Total Sales]]</f>
        <v>0.2</v>
      </c>
    </row>
    <row r="360" spans="1:12" ht="15.6" x14ac:dyDescent="0.3">
      <c r="A360" s="15">
        <v>1360</v>
      </c>
      <c r="B360" s="14">
        <v>45349</v>
      </c>
      <c r="C360" s="18" t="s">
        <v>15</v>
      </c>
      <c r="D360" s="18" t="s">
        <v>16</v>
      </c>
      <c r="E360" s="18" t="s">
        <v>17</v>
      </c>
      <c r="F360" s="18" t="s">
        <v>23</v>
      </c>
      <c r="G360" s="15">
        <v>78</v>
      </c>
      <c r="H360" s="20">
        <v>150</v>
      </c>
      <c r="I360" s="21">
        <v>11700</v>
      </c>
      <c r="J360" s="21">
        <v>115.5</v>
      </c>
      <c r="K360" s="21">
        <v>2691</v>
      </c>
      <c r="L360" s="30">
        <f>MT1_[[#This Row],[Profit]]/MT1_[[#This Row],[Total Sales]]</f>
        <v>0.23</v>
      </c>
    </row>
    <row r="361" spans="1:12" ht="15.6" x14ac:dyDescent="0.3">
      <c r="A361" s="15">
        <v>1361</v>
      </c>
      <c r="B361" s="14">
        <v>45348</v>
      </c>
      <c r="C361" s="18" t="s">
        <v>15</v>
      </c>
      <c r="D361" s="18" t="s">
        <v>33</v>
      </c>
      <c r="E361" s="18" t="s">
        <v>25</v>
      </c>
      <c r="F361" s="18" t="s">
        <v>31</v>
      </c>
      <c r="G361" s="15">
        <v>23</v>
      </c>
      <c r="H361" s="20">
        <v>50</v>
      </c>
      <c r="I361" s="21">
        <v>1150</v>
      </c>
      <c r="J361" s="21">
        <v>44</v>
      </c>
      <c r="K361" s="21">
        <v>138</v>
      </c>
      <c r="L361" s="30">
        <f>MT1_[[#This Row],[Profit]]/MT1_[[#This Row],[Total Sales]]</f>
        <v>0.12</v>
      </c>
    </row>
    <row r="362" spans="1:12" ht="15.6" x14ac:dyDescent="0.3">
      <c r="A362" s="15">
        <v>1362</v>
      </c>
      <c r="B362" s="14">
        <v>45328</v>
      </c>
      <c r="C362" s="18" t="s">
        <v>21</v>
      </c>
      <c r="D362" s="18" t="s">
        <v>16</v>
      </c>
      <c r="E362" s="18" t="s">
        <v>25</v>
      </c>
      <c r="F362" s="18" t="s">
        <v>35</v>
      </c>
      <c r="G362" s="15">
        <v>89</v>
      </c>
      <c r="H362" s="20">
        <v>50</v>
      </c>
      <c r="I362" s="21">
        <v>4450</v>
      </c>
      <c r="J362" s="21">
        <v>40</v>
      </c>
      <c r="K362" s="21">
        <v>890</v>
      </c>
      <c r="L362" s="30">
        <f>MT1_[[#This Row],[Profit]]/MT1_[[#This Row],[Total Sales]]</f>
        <v>0.2</v>
      </c>
    </row>
    <row r="363" spans="1:12" ht="15.6" x14ac:dyDescent="0.3">
      <c r="A363" s="15">
        <v>1363</v>
      </c>
      <c r="B363" s="14">
        <v>45309</v>
      </c>
      <c r="C363" s="18" t="s">
        <v>20</v>
      </c>
      <c r="D363" s="18" t="s">
        <v>12</v>
      </c>
      <c r="E363" s="18" t="s">
        <v>17</v>
      </c>
      <c r="F363" s="18" t="s">
        <v>14</v>
      </c>
      <c r="G363" s="15">
        <v>20</v>
      </c>
      <c r="H363" s="20">
        <v>50</v>
      </c>
      <c r="I363" s="21">
        <v>1000</v>
      </c>
      <c r="J363" s="21">
        <v>35.5</v>
      </c>
      <c r="K363" s="21">
        <v>290</v>
      </c>
      <c r="L363" s="30">
        <f>MT1_[[#This Row],[Profit]]/MT1_[[#This Row],[Total Sales]]</f>
        <v>0.28999999999999998</v>
      </c>
    </row>
    <row r="364" spans="1:12" ht="15.6" x14ac:dyDescent="0.3">
      <c r="A364" s="15">
        <v>1364</v>
      </c>
      <c r="B364" s="14">
        <v>45360</v>
      </c>
      <c r="C364" s="18" t="s">
        <v>21</v>
      </c>
      <c r="D364" s="18" t="s">
        <v>32</v>
      </c>
      <c r="E364" s="18" t="s">
        <v>13</v>
      </c>
      <c r="F364" s="18" t="s">
        <v>18</v>
      </c>
      <c r="G364" s="15">
        <v>81</v>
      </c>
      <c r="H364" s="20">
        <v>300</v>
      </c>
      <c r="I364" s="21">
        <v>24300</v>
      </c>
      <c r="J364" s="21">
        <v>252</v>
      </c>
      <c r="K364" s="21">
        <v>3888</v>
      </c>
      <c r="L364" s="30">
        <f>MT1_[[#This Row],[Profit]]/MT1_[[#This Row],[Total Sales]]</f>
        <v>0.16</v>
      </c>
    </row>
    <row r="365" spans="1:12" ht="15.6" x14ac:dyDescent="0.3">
      <c r="A365" s="15">
        <v>1365</v>
      </c>
      <c r="B365" s="14">
        <v>45346</v>
      </c>
      <c r="C365" s="18" t="s">
        <v>20</v>
      </c>
      <c r="D365" s="18" t="s">
        <v>32</v>
      </c>
      <c r="E365" s="18" t="s">
        <v>28</v>
      </c>
      <c r="F365" s="18" t="s">
        <v>26</v>
      </c>
      <c r="G365" s="15">
        <v>18</v>
      </c>
      <c r="H365" s="20">
        <v>150</v>
      </c>
      <c r="I365" s="21">
        <v>2700</v>
      </c>
      <c r="J365" s="21">
        <v>117</v>
      </c>
      <c r="K365" s="21">
        <v>594</v>
      </c>
      <c r="L365" s="30">
        <f>MT1_[[#This Row],[Profit]]/MT1_[[#This Row],[Total Sales]]</f>
        <v>0.22</v>
      </c>
    </row>
    <row r="366" spans="1:12" ht="15.6" x14ac:dyDescent="0.3">
      <c r="A366" s="15">
        <v>1366</v>
      </c>
      <c r="B366" s="14">
        <v>45340</v>
      </c>
      <c r="C366" s="18" t="s">
        <v>20</v>
      </c>
      <c r="D366" s="18" t="s">
        <v>16</v>
      </c>
      <c r="E366" s="18" t="s">
        <v>28</v>
      </c>
      <c r="F366" s="18" t="s">
        <v>26</v>
      </c>
      <c r="G366" s="15">
        <v>16</v>
      </c>
      <c r="H366" s="20">
        <v>900</v>
      </c>
      <c r="I366" s="21">
        <v>14400</v>
      </c>
      <c r="J366" s="21">
        <v>666</v>
      </c>
      <c r="K366" s="21">
        <v>3744</v>
      </c>
      <c r="L366" s="30">
        <f>MT1_[[#This Row],[Profit]]/MT1_[[#This Row],[Total Sales]]</f>
        <v>0.26</v>
      </c>
    </row>
    <row r="367" spans="1:12" ht="15.6" x14ac:dyDescent="0.3">
      <c r="A367" s="15">
        <v>1367</v>
      </c>
      <c r="B367" s="14">
        <v>45325</v>
      </c>
      <c r="C367" s="18" t="s">
        <v>21</v>
      </c>
      <c r="D367" s="18" t="s">
        <v>32</v>
      </c>
      <c r="E367" s="18" t="s">
        <v>25</v>
      </c>
      <c r="F367" s="18" t="s">
        <v>27</v>
      </c>
      <c r="G367" s="15">
        <v>85</v>
      </c>
      <c r="H367" s="20">
        <v>300</v>
      </c>
      <c r="I367" s="21">
        <v>25500</v>
      </c>
      <c r="J367" s="21">
        <v>216</v>
      </c>
      <c r="K367" s="21">
        <v>7140</v>
      </c>
      <c r="L367" s="30">
        <f>MT1_[[#This Row],[Profit]]/MT1_[[#This Row],[Total Sales]]</f>
        <v>0.28000000000000003</v>
      </c>
    </row>
    <row r="368" spans="1:12" ht="15.6" x14ac:dyDescent="0.3">
      <c r="A368" s="15">
        <v>1368</v>
      </c>
      <c r="B368" s="14">
        <v>45311</v>
      </c>
      <c r="C368" s="18" t="s">
        <v>20</v>
      </c>
      <c r="D368" s="18" t="s">
        <v>16</v>
      </c>
      <c r="E368" s="18" t="s">
        <v>17</v>
      </c>
      <c r="F368" s="18" t="s">
        <v>35</v>
      </c>
      <c r="G368" s="15">
        <v>12</v>
      </c>
      <c r="H368" s="20">
        <v>50</v>
      </c>
      <c r="I368" s="21">
        <v>600</v>
      </c>
      <c r="J368" s="21">
        <v>43.5</v>
      </c>
      <c r="K368" s="21">
        <v>78</v>
      </c>
      <c r="L368" s="30">
        <f>MT1_[[#This Row],[Profit]]/MT1_[[#This Row],[Total Sales]]</f>
        <v>0.13</v>
      </c>
    </row>
    <row r="369" spans="1:12" ht="15.6" x14ac:dyDescent="0.3">
      <c r="A369" s="15">
        <v>1369</v>
      </c>
      <c r="B369" s="14">
        <v>45348</v>
      </c>
      <c r="C369" s="18" t="s">
        <v>21</v>
      </c>
      <c r="D369" s="18" t="s">
        <v>33</v>
      </c>
      <c r="E369" s="18" t="s">
        <v>28</v>
      </c>
      <c r="F369" s="18" t="s">
        <v>18</v>
      </c>
      <c r="G369" s="15">
        <v>23</v>
      </c>
      <c r="H369" s="20">
        <v>300</v>
      </c>
      <c r="I369" s="21">
        <v>6900</v>
      </c>
      <c r="J369" s="21">
        <v>264</v>
      </c>
      <c r="K369" s="21">
        <v>828</v>
      </c>
      <c r="L369" s="30">
        <f>MT1_[[#This Row],[Profit]]/MT1_[[#This Row],[Total Sales]]</f>
        <v>0.12</v>
      </c>
    </row>
    <row r="370" spans="1:12" ht="15.6" x14ac:dyDescent="0.3">
      <c r="A370" s="15">
        <v>1370</v>
      </c>
      <c r="B370" s="14">
        <v>45315</v>
      </c>
      <c r="C370" s="18" t="s">
        <v>19</v>
      </c>
      <c r="D370" s="18" t="s">
        <v>32</v>
      </c>
      <c r="E370" s="18" t="s">
        <v>13</v>
      </c>
      <c r="F370" s="18" t="s">
        <v>26</v>
      </c>
      <c r="G370" s="15">
        <v>31</v>
      </c>
      <c r="H370" s="20">
        <v>30000</v>
      </c>
      <c r="I370" s="21">
        <v>930000</v>
      </c>
      <c r="J370" s="21">
        <v>22500</v>
      </c>
      <c r="K370" s="21">
        <v>232500</v>
      </c>
      <c r="L370" s="30">
        <f>MT1_[[#This Row],[Profit]]/MT1_[[#This Row],[Total Sales]]</f>
        <v>0.25</v>
      </c>
    </row>
    <row r="371" spans="1:12" ht="15.6" x14ac:dyDescent="0.3">
      <c r="A371" s="15">
        <v>1371</v>
      </c>
      <c r="B371" s="14">
        <v>45297</v>
      </c>
      <c r="C371" s="18" t="s">
        <v>11</v>
      </c>
      <c r="D371" s="18" t="s">
        <v>12</v>
      </c>
      <c r="E371" s="18" t="s">
        <v>13</v>
      </c>
      <c r="F371" s="18" t="s">
        <v>31</v>
      </c>
      <c r="G371" s="15">
        <v>80</v>
      </c>
      <c r="H371" s="20">
        <v>150</v>
      </c>
      <c r="I371" s="21">
        <v>12000</v>
      </c>
      <c r="J371" s="21">
        <v>108</v>
      </c>
      <c r="K371" s="21">
        <v>3360</v>
      </c>
      <c r="L371" s="30">
        <f>MT1_[[#This Row],[Profit]]/MT1_[[#This Row],[Total Sales]]</f>
        <v>0.28000000000000003</v>
      </c>
    </row>
    <row r="372" spans="1:12" ht="15.6" x14ac:dyDescent="0.3">
      <c r="A372" s="15">
        <v>1372</v>
      </c>
      <c r="B372" s="14">
        <v>45301</v>
      </c>
      <c r="C372" s="18" t="s">
        <v>11</v>
      </c>
      <c r="D372" s="18" t="s">
        <v>16</v>
      </c>
      <c r="E372" s="18" t="s">
        <v>13</v>
      </c>
      <c r="F372" s="18" t="s">
        <v>24</v>
      </c>
      <c r="G372" s="15">
        <v>13</v>
      </c>
      <c r="H372" s="20">
        <v>250</v>
      </c>
      <c r="I372" s="21">
        <v>3250</v>
      </c>
      <c r="J372" s="21">
        <v>187.5</v>
      </c>
      <c r="K372" s="21">
        <v>812.5</v>
      </c>
      <c r="L372" s="30">
        <f>MT1_[[#This Row],[Profit]]/MT1_[[#This Row],[Total Sales]]</f>
        <v>0.25</v>
      </c>
    </row>
    <row r="373" spans="1:12" ht="15.6" x14ac:dyDescent="0.3">
      <c r="A373" s="15">
        <v>1373</v>
      </c>
      <c r="B373" s="14">
        <v>45337</v>
      </c>
      <c r="C373" s="18" t="s">
        <v>20</v>
      </c>
      <c r="D373" s="18" t="s">
        <v>16</v>
      </c>
      <c r="E373" s="18" t="s">
        <v>17</v>
      </c>
      <c r="F373" s="18" t="s">
        <v>29</v>
      </c>
      <c r="G373" s="15">
        <v>10</v>
      </c>
      <c r="H373" s="20">
        <v>15000</v>
      </c>
      <c r="I373" s="21">
        <v>150000</v>
      </c>
      <c r="J373" s="21">
        <v>12150</v>
      </c>
      <c r="K373" s="21">
        <v>28500</v>
      </c>
      <c r="L373" s="30">
        <f>MT1_[[#This Row],[Profit]]/MT1_[[#This Row],[Total Sales]]</f>
        <v>0.19</v>
      </c>
    </row>
    <row r="374" spans="1:12" ht="15.6" x14ac:dyDescent="0.3">
      <c r="A374" s="15">
        <v>1374</v>
      </c>
      <c r="B374" s="14">
        <v>45337</v>
      </c>
      <c r="C374" s="18" t="s">
        <v>21</v>
      </c>
      <c r="D374" s="18" t="s">
        <v>34</v>
      </c>
      <c r="E374" s="18" t="s">
        <v>17</v>
      </c>
      <c r="F374" s="18" t="s">
        <v>23</v>
      </c>
      <c r="G374" s="15">
        <v>75</v>
      </c>
      <c r="H374" s="20">
        <v>1200</v>
      </c>
      <c r="I374" s="21">
        <v>90000</v>
      </c>
      <c r="J374" s="21">
        <v>876</v>
      </c>
      <c r="K374" s="21">
        <v>24300</v>
      </c>
      <c r="L374" s="30">
        <f>MT1_[[#This Row],[Profit]]/MT1_[[#This Row],[Total Sales]]</f>
        <v>0.27</v>
      </c>
    </row>
    <row r="375" spans="1:12" ht="15.6" x14ac:dyDescent="0.3">
      <c r="A375" s="15">
        <v>1375</v>
      </c>
      <c r="B375" s="14">
        <v>45300</v>
      </c>
      <c r="C375" s="18" t="s">
        <v>20</v>
      </c>
      <c r="D375" s="18" t="s">
        <v>34</v>
      </c>
      <c r="E375" s="18" t="s">
        <v>13</v>
      </c>
      <c r="F375" s="18" t="s">
        <v>23</v>
      </c>
      <c r="G375" s="15">
        <v>73</v>
      </c>
      <c r="H375" s="20">
        <v>30000</v>
      </c>
      <c r="I375" s="21">
        <v>2190000</v>
      </c>
      <c r="J375" s="21">
        <v>23700</v>
      </c>
      <c r="K375" s="21">
        <v>459900</v>
      </c>
      <c r="L375" s="30">
        <f>MT1_[[#This Row],[Profit]]/MT1_[[#This Row],[Total Sales]]</f>
        <v>0.21</v>
      </c>
    </row>
    <row r="376" spans="1:12" ht="15.6" x14ac:dyDescent="0.3">
      <c r="A376" s="15">
        <v>1376</v>
      </c>
      <c r="B376" s="14">
        <v>45311</v>
      </c>
      <c r="C376" s="18" t="s">
        <v>21</v>
      </c>
      <c r="D376" s="18" t="s">
        <v>34</v>
      </c>
      <c r="E376" s="18" t="s">
        <v>30</v>
      </c>
      <c r="F376" s="18" t="s">
        <v>36</v>
      </c>
      <c r="G376" s="15">
        <v>84</v>
      </c>
      <c r="H376" s="20">
        <v>50</v>
      </c>
      <c r="I376" s="21">
        <v>4200</v>
      </c>
      <c r="J376" s="21">
        <v>42.5</v>
      </c>
      <c r="K376" s="21">
        <v>630</v>
      </c>
      <c r="L376" s="30">
        <f>MT1_[[#This Row],[Profit]]/MT1_[[#This Row],[Total Sales]]</f>
        <v>0.15</v>
      </c>
    </row>
    <row r="377" spans="1:12" ht="15.6" x14ac:dyDescent="0.3">
      <c r="A377" s="15">
        <v>1377</v>
      </c>
      <c r="B377" s="14">
        <v>45318</v>
      </c>
      <c r="C377" s="18" t="s">
        <v>21</v>
      </c>
      <c r="D377" s="18" t="s">
        <v>16</v>
      </c>
      <c r="E377" s="18" t="s">
        <v>17</v>
      </c>
      <c r="F377" s="18" t="s">
        <v>14</v>
      </c>
      <c r="G377" s="15">
        <v>79</v>
      </c>
      <c r="H377" s="20">
        <v>30000</v>
      </c>
      <c r="I377" s="21">
        <v>2370000</v>
      </c>
      <c r="J377" s="21">
        <v>26400</v>
      </c>
      <c r="K377" s="21">
        <v>284400</v>
      </c>
      <c r="L377" s="30">
        <f>MT1_[[#This Row],[Profit]]/MT1_[[#This Row],[Total Sales]]</f>
        <v>0.12</v>
      </c>
    </row>
    <row r="378" spans="1:12" ht="15.6" x14ac:dyDescent="0.3">
      <c r="A378" s="15">
        <v>1378</v>
      </c>
      <c r="B378" s="14">
        <v>45332</v>
      </c>
      <c r="C378" s="18" t="s">
        <v>21</v>
      </c>
      <c r="D378" s="18" t="s">
        <v>33</v>
      </c>
      <c r="E378" s="18" t="s">
        <v>13</v>
      </c>
      <c r="F378" s="18" t="s">
        <v>24</v>
      </c>
      <c r="G378" s="15">
        <v>56</v>
      </c>
      <c r="H378" s="20">
        <v>250</v>
      </c>
      <c r="I378" s="21">
        <v>14000</v>
      </c>
      <c r="J378" s="21">
        <v>175</v>
      </c>
      <c r="K378" s="21">
        <v>4200</v>
      </c>
      <c r="L378" s="30">
        <f>MT1_[[#This Row],[Profit]]/MT1_[[#This Row],[Total Sales]]</f>
        <v>0.3</v>
      </c>
    </row>
    <row r="379" spans="1:12" ht="15.6" x14ac:dyDescent="0.3">
      <c r="A379" s="15">
        <v>1379</v>
      </c>
      <c r="B379" s="14">
        <v>45353</v>
      </c>
      <c r="C379" s="18" t="s">
        <v>19</v>
      </c>
      <c r="D379" s="18" t="s">
        <v>32</v>
      </c>
      <c r="E379" s="18" t="s">
        <v>17</v>
      </c>
      <c r="F379" s="18" t="s">
        <v>26</v>
      </c>
      <c r="G379" s="15">
        <v>86</v>
      </c>
      <c r="H379" s="20">
        <v>300</v>
      </c>
      <c r="I379" s="21">
        <v>25800</v>
      </c>
      <c r="J379" s="21">
        <v>246</v>
      </c>
      <c r="K379" s="21">
        <v>4644</v>
      </c>
      <c r="L379" s="30">
        <f>MT1_[[#This Row],[Profit]]/MT1_[[#This Row],[Total Sales]]</f>
        <v>0.18</v>
      </c>
    </row>
    <row r="380" spans="1:12" ht="15.6" x14ac:dyDescent="0.3">
      <c r="A380" s="15">
        <v>1380</v>
      </c>
      <c r="B380" s="14">
        <v>45367</v>
      </c>
      <c r="C380" s="18" t="s">
        <v>11</v>
      </c>
      <c r="D380" s="18" t="s">
        <v>34</v>
      </c>
      <c r="E380" s="18" t="s">
        <v>25</v>
      </c>
      <c r="F380" s="18" t="s">
        <v>36</v>
      </c>
      <c r="G380" s="15">
        <v>34</v>
      </c>
      <c r="H380" s="20">
        <v>1200</v>
      </c>
      <c r="I380" s="21">
        <v>40800</v>
      </c>
      <c r="J380" s="21">
        <v>852</v>
      </c>
      <c r="K380" s="21">
        <v>11832</v>
      </c>
      <c r="L380" s="30">
        <f>MT1_[[#This Row],[Profit]]/MT1_[[#This Row],[Total Sales]]</f>
        <v>0.28999999999999998</v>
      </c>
    </row>
    <row r="381" spans="1:12" ht="15.6" x14ac:dyDescent="0.3">
      <c r="A381" s="15">
        <v>1381</v>
      </c>
      <c r="B381" s="14">
        <v>45374</v>
      </c>
      <c r="C381" s="18" t="s">
        <v>21</v>
      </c>
      <c r="D381" s="18" t="s">
        <v>12</v>
      </c>
      <c r="E381" s="18" t="s">
        <v>25</v>
      </c>
      <c r="F381" s="18" t="s">
        <v>36</v>
      </c>
      <c r="G381" s="15">
        <v>45</v>
      </c>
      <c r="H381" s="20">
        <v>500</v>
      </c>
      <c r="I381" s="21">
        <v>22500</v>
      </c>
      <c r="J381" s="21">
        <v>400</v>
      </c>
      <c r="K381" s="21">
        <v>4500</v>
      </c>
      <c r="L381" s="30">
        <f>MT1_[[#This Row],[Profit]]/MT1_[[#This Row],[Total Sales]]</f>
        <v>0.2</v>
      </c>
    </row>
    <row r="382" spans="1:12" ht="15.6" x14ac:dyDescent="0.3">
      <c r="A382" s="15">
        <v>1382</v>
      </c>
      <c r="B382" s="14">
        <v>45368</v>
      </c>
      <c r="C382" s="18" t="s">
        <v>20</v>
      </c>
      <c r="D382" s="18" t="s">
        <v>32</v>
      </c>
      <c r="E382" s="18" t="s">
        <v>13</v>
      </c>
      <c r="F382" s="18" t="s">
        <v>14</v>
      </c>
      <c r="G382" s="15">
        <v>40</v>
      </c>
      <c r="H382" s="20">
        <v>1200</v>
      </c>
      <c r="I382" s="21">
        <v>48000</v>
      </c>
      <c r="J382" s="21">
        <v>984</v>
      </c>
      <c r="K382" s="21">
        <v>8640</v>
      </c>
      <c r="L382" s="30">
        <f>MT1_[[#This Row],[Profit]]/MT1_[[#This Row],[Total Sales]]</f>
        <v>0.18</v>
      </c>
    </row>
    <row r="383" spans="1:12" ht="15.6" x14ac:dyDescent="0.3">
      <c r="A383" s="15">
        <v>1383</v>
      </c>
      <c r="B383" s="14">
        <v>45334</v>
      </c>
      <c r="C383" s="18" t="s">
        <v>20</v>
      </c>
      <c r="D383" s="18" t="s">
        <v>32</v>
      </c>
      <c r="E383" s="18" t="s">
        <v>30</v>
      </c>
      <c r="F383" s="18" t="s">
        <v>23</v>
      </c>
      <c r="G383" s="15">
        <v>2</v>
      </c>
      <c r="H383" s="20">
        <v>300</v>
      </c>
      <c r="I383" s="21">
        <v>600</v>
      </c>
      <c r="J383" s="21">
        <v>210</v>
      </c>
      <c r="K383" s="21">
        <v>180</v>
      </c>
      <c r="L383" s="30">
        <f>MT1_[[#This Row],[Profit]]/MT1_[[#This Row],[Total Sales]]</f>
        <v>0.3</v>
      </c>
    </row>
    <row r="384" spans="1:12" ht="15.6" x14ac:dyDescent="0.3">
      <c r="A384" s="15">
        <v>1384</v>
      </c>
      <c r="B384" s="14">
        <v>45356</v>
      </c>
      <c r="C384" s="18" t="s">
        <v>21</v>
      </c>
      <c r="D384" s="18" t="s">
        <v>34</v>
      </c>
      <c r="E384" s="18" t="s">
        <v>17</v>
      </c>
      <c r="F384" s="18" t="s">
        <v>26</v>
      </c>
      <c r="G384" s="15">
        <v>12</v>
      </c>
      <c r="H384" s="20">
        <v>15000</v>
      </c>
      <c r="I384" s="21">
        <v>180000</v>
      </c>
      <c r="J384" s="21">
        <v>13500</v>
      </c>
      <c r="K384" s="21">
        <v>18000</v>
      </c>
      <c r="L384" s="30">
        <f>MT1_[[#This Row],[Profit]]/MT1_[[#This Row],[Total Sales]]</f>
        <v>0.1</v>
      </c>
    </row>
    <row r="385" spans="1:12" ht="15.6" x14ac:dyDescent="0.3">
      <c r="A385" s="15">
        <v>1385</v>
      </c>
      <c r="B385" s="14">
        <v>45306</v>
      </c>
      <c r="C385" s="18" t="s">
        <v>20</v>
      </c>
      <c r="D385" s="18" t="s">
        <v>12</v>
      </c>
      <c r="E385" s="18" t="s">
        <v>13</v>
      </c>
      <c r="F385" s="18" t="s">
        <v>27</v>
      </c>
      <c r="G385" s="15">
        <v>11</v>
      </c>
      <c r="H385" s="20">
        <v>700</v>
      </c>
      <c r="I385" s="21">
        <v>7700</v>
      </c>
      <c r="J385" s="21">
        <v>609</v>
      </c>
      <c r="K385" s="21">
        <v>1001</v>
      </c>
      <c r="L385" s="30">
        <f>MT1_[[#This Row],[Profit]]/MT1_[[#This Row],[Total Sales]]</f>
        <v>0.13</v>
      </c>
    </row>
    <row r="386" spans="1:12" ht="15.6" x14ac:dyDescent="0.3">
      <c r="A386" s="15">
        <v>1386</v>
      </c>
      <c r="B386" s="14">
        <v>45377</v>
      </c>
      <c r="C386" s="18" t="s">
        <v>19</v>
      </c>
      <c r="D386" s="18" t="s">
        <v>16</v>
      </c>
      <c r="E386" s="18" t="s">
        <v>30</v>
      </c>
      <c r="F386" s="18" t="s">
        <v>36</v>
      </c>
      <c r="G386" s="15">
        <v>78</v>
      </c>
      <c r="H386" s="20">
        <v>1200</v>
      </c>
      <c r="I386" s="21">
        <v>93600</v>
      </c>
      <c r="J386" s="21">
        <v>1056</v>
      </c>
      <c r="K386" s="21">
        <v>11232</v>
      </c>
      <c r="L386" s="30">
        <f>MT1_[[#This Row],[Profit]]/MT1_[[#This Row],[Total Sales]]</f>
        <v>0.12</v>
      </c>
    </row>
    <row r="387" spans="1:12" ht="15.6" x14ac:dyDescent="0.3">
      <c r="A387" s="15">
        <v>1387</v>
      </c>
      <c r="B387" s="14">
        <v>45342</v>
      </c>
      <c r="C387" s="18" t="s">
        <v>15</v>
      </c>
      <c r="D387" s="18" t="s">
        <v>34</v>
      </c>
      <c r="E387" s="18" t="s">
        <v>28</v>
      </c>
      <c r="F387" s="18" t="s">
        <v>18</v>
      </c>
      <c r="G387" s="15">
        <v>90</v>
      </c>
      <c r="H387" s="20">
        <v>700</v>
      </c>
      <c r="I387" s="21">
        <v>63000</v>
      </c>
      <c r="J387" s="21">
        <v>588</v>
      </c>
      <c r="K387" s="21">
        <v>10080</v>
      </c>
      <c r="L387" s="30">
        <f>MT1_[[#This Row],[Profit]]/MT1_[[#This Row],[Total Sales]]</f>
        <v>0.16</v>
      </c>
    </row>
    <row r="388" spans="1:12" ht="15.6" x14ac:dyDescent="0.3">
      <c r="A388" s="15">
        <v>1388</v>
      </c>
      <c r="B388" s="14">
        <v>45309</v>
      </c>
      <c r="C388" s="18" t="s">
        <v>19</v>
      </c>
      <c r="D388" s="18" t="s">
        <v>34</v>
      </c>
      <c r="E388" s="18" t="s">
        <v>25</v>
      </c>
      <c r="F388" s="18" t="s">
        <v>36</v>
      </c>
      <c r="G388" s="15">
        <v>54</v>
      </c>
      <c r="H388" s="20">
        <v>300</v>
      </c>
      <c r="I388" s="21">
        <v>16200</v>
      </c>
      <c r="J388" s="21">
        <v>234</v>
      </c>
      <c r="K388" s="21">
        <v>3564</v>
      </c>
      <c r="L388" s="30">
        <f>MT1_[[#This Row],[Profit]]/MT1_[[#This Row],[Total Sales]]</f>
        <v>0.22</v>
      </c>
    </row>
    <row r="389" spans="1:12" ht="15.6" x14ac:dyDescent="0.3">
      <c r="A389" s="15">
        <v>1389</v>
      </c>
      <c r="B389" s="14">
        <v>45344</v>
      </c>
      <c r="C389" s="18" t="s">
        <v>15</v>
      </c>
      <c r="D389" s="18" t="s">
        <v>12</v>
      </c>
      <c r="E389" s="18" t="s">
        <v>30</v>
      </c>
      <c r="F389" s="18" t="s">
        <v>14</v>
      </c>
      <c r="G389" s="15">
        <v>84</v>
      </c>
      <c r="H389" s="20">
        <v>1200</v>
      </c>
      <c r="I389" s="21">
        <v>100800</v>
      </c>
      <c r="J389" s="21">
        <v>972</v>
      </c>
      <c r="K389" s="21">
        <v>19152</v>
      </c>
      <c r="L389" s="30">
        <f>MT1_[[#This Row],[Profit]]/MT1_[[#This Row],[Total Sales]]</f>
        <v>0.19</v>
      </c>
    </row>
    <row r="390" spans="1:12" ht="15.6" x14ac:dyDescent="0.3">
      <c r="A390" s="15">
        <v>1390</v>
      </c>
      <c r="B390" s="14">
        <v>45369</v>
      </c>
      <c r="C390" s="18" t="s">
        <v>20</v>
      </c>
      <c r="D390" s="18" t="s">
        <v>34</v>
      </c>
      <c r="E390" s="18" t="s">
        <v>13</v>
      </c>
      <c r="F390" s="18" t="s">
        <v>31</v>
      </c>
      <c r="G390" s="15">
        <v>28</v>
      </c>
      <c r="H390" s="20">
        <v>1200</v>
      </c>
      <c r="I390" s="21">
        <v>33600</v>
      </c>
      <c r="J390" s="21">
        <v>876</v>
      </c>
      <c r="K390" s="21">
        <v>9072</v>
      </c>
      <c r="L390" s="30">
        <f>MT1_[[#This Row],[Profit]]/MT1_[[#This Row],[Total Sales]]</f>
        <v>0.27</v>
      </c>
    </row>
    <row r="391" spans="1:12" ht="15.6" x14ac:dyDescent="0.3">
      <c r="A391" s="15">
        <v>1391</v>
      </c>
      <c r="B391" s="14">
        <v>45313</v>
      </c>
      <c r="C391" s="18" t="s">
        <v>21</v>
      </c>
      <c r="D391" s="18" t="s">
        <v>33</v>
      </c>
      <c r="E391" s="18" t="s">
        <v>13</v>
      </c>
      <c r="F391" s="18" t="s">
        <v>36</v>
      </c>
      <c r="G391" s="15">
        <v>23</v>
      </c>
      <c r="H391" s="20">
        <v>15000</v>
      </c>
      <c r="I391" s="21">
        <v>345000</v>
      </c>
      <c r="J391" s="21">
        <v>11400</v>
      </c>
      <c r="K391" s="21">
        <v>82800</v>
      </c>
      <c r="L391" s="30">
        <f>MT1_[[#This Row],[Profit]]/MT1_[[#This Row],[Total Sales]]</f>
        <v>0.24</v>
      </c>
    </row>
    <row r="392" spans="1:12" ht="15.6" x14ac:dyDescent="0.3">
      <c r="A392" s="15">
        <v>1392</v>
      </c>
      <c r="B392" s="14">
        <v>45382</v>
      </c>
      <c r="C392" s="18" t="s">
        <v>20</v>
      </c>
      <c r="D392" s="18" t="s">
        <v>33</v>
      </c>
      <c r="E392" s="18" t="s">
        <v>25</v>
      </c>
      <c r="F392" s="18" t="s">
        <v>14</v>
      </c>
      <c r="G392" s="15">
        <v>79</v>
      </c>
      <c r="H392" s="20">
        <v>1200</v>
      </c>
      <c r="I392" s="21">
        <v>94800</v>
      </c>
      <c r="J392" s="21">
        <v>996</v>
      </c>
      <c r="K392" s="21">
        <v>16116</v>
      </c>
      <c r="L392" s="30">
        <f>MT1_[[#This Row],[Profit]]/MT1_[[#This Row],[Total Sales]]</f>
        <v>0.17</v>
      </c>
    </row>
    <row r="393" spans="1:12" ht="15.6" x14ac:dyDescent="0.3">
      <c r="A393" s="15">
        <v>1393</v>
      </c>
      <c r="B393" s="14">
        <v>45326</v>
      </c>
      <c r="C393" s="18" t="s">
        <v>19</v>
      </c>
      <c r="D393" s="18" t="s">
        <v>12</v>
      </c>
      <c r="E393" s="18" t="s">
        <v>28</v>
      </c>
      <c r="F393" s="18" t="s">
        <v>18</v>
      </c>
      <c r="G393" s="15">
        <v>15</v>
      </c>
      <c r="H393" s="20">
        <v>300</v>
      </c>
      <c r="I393" s="21">
        <v>4500</v>
      </c>
      <c r="J393" s="21">
        <v>213</v>
      </c>
      <c r="K393" s="21">
        <v>1305</v>
      </c>
      <c r="L393" s="30">
        <f>MT1_[[#This Row],[Profit]]/MT1_[[#This Row],[Total Sales]]</f>
        <v>0.28999999999999998</v>
      </c>
    </row>
    <row r="394" spans="1:12" ht="15.6" x14ac:dyDescent="0.3">
      <c r="A394" s="15">
        <v>1394</v>
      </c>
      <c r="B394" s="14">
        <v>45334</v>
      </c>
      <c r="C394" s="18" t="s">
        <v>20</v>
      </c>
      <c r="D394" s="18" t="s">
        <v>32</v>
      </c>
      <c r="E394" s="18" t="s">
        <v>28</v>
      </c>
      <c r="F394" s="18" t="s">
        <v>29</v>
      </c>
      <c r="G394" s="15">
        <v>68</v>
      </c>
      <c r="H394" s="20">
        <v>1200</v>
      </c>
      <c r="I394" s="21">
        <v>81600</v>
      </c>
      <c r="J394" s="21">
        <v>840</v>
      </c>
      <c r="K394" s="21">
        <v>24480</v>
      </c>
      <c r="L394" s="30">
        <f>MT1_[[#This Row],[Profit]]/MT1_[[#This Row],[Total Sales]]</f>
        <v>0.3</v>
      </c>
    </row>
    <row r="395" spans="1:12" ht="15.6" x14ac:dyDescent="0.3">
      <c r="A395" s="15">
        <v>1395</v>
      </c>
      <c r="B395" s="14">
        <v>45362</v>
      </c>
      <c r="C395" s="18" t="s">
        <v>15</v>
      </c>
      <c r="D395" s="18" t="s">
        <v>33</v>
      </c>
      <c r="E395" s="18" t="s">
        <v>30</v>
      </c>
      <c r="F395" s="18" t="s">
        <v>14</v>
      </c>
      <c r="G395" s="15">
        <v>55</v>
      </c>
      <c r="H395" s="20">
        <v>700</v>
      </c>
      <c r="I395" s="21">
        <v>38500</v>
      </c>
      <c r="J395" s="21">
        <v>616</v>
      </c>
      <c r="K395" s="21">
        <v>4620</v>
      </c>
      <c r="L395" s="30">
        <f>MT1_[[#This Row],[Profit]]/MT1_[[#This Row],[Total Sales]]</f>
        <v>0.12</v>
      </c>
    </row>
    <row r="396" spans="1:12" ht="15.6" x14ac:dyDescent="0.3">
      <c r="A396" s="15">
        <v>1396</v>
      </c>
      <c r="B396" s="14">
        <v>45337</v>
      </c>
      <c r="C396" s="18" t="s">
        <v>11</v>
      </c>
      <c r="D396" s="18" t="s">
        <v>16</v>
      </c>
      <c r="E396" s="18" t="s">
        <v>28</v>
      </c>
      <c r="F396" s="18" t="s">
        <v>24</v>
      </c>
      <c r="G396" s="15">
        <v>14</v>
      </c>
      <c r="H396" s="20">
        <v>500</v>
      </c>
      <c r="I396" s="21">
        <v>7000</v>
      </c>
      <c r="J396" s="21">
        <v>440</v>
      </c>
      <c r="K396" s="21">
        <v>840</v>
      </c>
      <c r="L396" s="30">
        <f>MT1_[[#This Row],[Profit]]/MT1_[[#This Row],[Total Sales]]</f>
        <v>0.12</v>
      </c>
    </row>
    <row r="397" spans="1:12" ht="15.6" x14ac:dyDescent="0.3">
      <c r="A397" s="15">
        <v>1397</v>
      </c>
      <c r="B397" s="14">
        <v>45350</v>
      </c>
      <c r="C397" s="18" t="s">
        <v>20</v>
      </c>
      <c r="D397" s="18" t="s">
        <v>16</v>
      </c>
      <c r="E397" s="18" t="s">
        <v>17</v>
      </c>
      <c r="F397" s="18" t="s">
        <v>35</v>
      </c>
      <c r="G397" s="15">
        <v>30</v>
      </c>
      <c r="H397" s="20">
        <v>30000</v>
      </c>
      <c r="I397" s="21">
        <v>900000</v>
      </c>
      <c r="J397" s="21">
        <v>25200</v>
      </c>
      <c r="K397" s="21">
        <v>144000</v>
      </c>
      <c r="L397" s="30">
        <f>MT1_[[#This Row],[Profit]]/MT1_[[#This Row],[Total Sales]]</f>
        <v>0.16</v>
      </c>
    </row>
    <row r="398" spans="1:12" ht="15.6" x14ac:dyDescent="0.3">
      <c r="A398" s="15">
        <v>1398</v>
      </c>
      <c r="B398" s="14">
        <v>45358</v>
      </c>
      <c r="C398" s="18" t="s">
        <v>21</v>
      </c>
      <c r="D398" s="18" t="s">
        <v>33</v>
      </c>
      <c r="E398" s="18" t="s">
        <v>13</v>
      </c>
      <c r="F398" s="18" t="s">
        <v>35</v>
      </c>
      <c r="G398" s="15">
        <v>100</v>
      </c>
      <c r="H398" s="20">
        <v>50</v>
      </c>
      <c r="I398" s="21">
        <v>5000</v>
      </c>
      <c r="J398" s="21">
        <v>42</v>
      </c>
      <c r="K398" s="21">
        <v>800</v>
      </c>
      <c r="L398" s="30">
        <f>MT1_[[#This Row],[Profit]]/MT1_[[#This Row],[Total Sales]]</f>
        <v>0.16</v>
      </c>
    </row>
    <row r="399" spans="1:12" ht="15.6" x14ac:dyDescent="0.3">
      <c r="A399" s="15">
        <v>1399</v>
      </c>
      <c r="B399" s="14">
        <v>45318</v>
      </c>
      <c r="C399" s="18" t="s">
        <v>21</v>
      </c>
      <c r="D399" s="18" t="s">
        <v>33</v>
      </c>
      <c r="E399" s="18" t="s">
        <v>28</v>
      </c>
      <c r="F399" s="18" t="s">
        <v>31</v>
      </c>
      <c r="G399" s="15">
        <v>59</v>
      </c>
      <c r="H399" s="20">
        <v>150</v>
      </c>
      <c r="I399" s="21">
        <v>8850</v>
      </c>
      <c r="J399" s="21">
        <v>111</v>
      </c>
      <c r="K399" s="21">
        <v>2301</v>
      </c>
      <c r="L399" s="30">
        <f>MT1_[[#This Row],[Profit]]/MT1_[[#This Row],[Total Sales]]</f>
        <v>0.26</v>
      </c>
    </row>
    <row r="400" spans="1:12" ht="15.6" x14ac:dyDescent="0.3">
      <c r="A400" s="15">
        <v>1400</v>
      </c>
      <c r="B400" s="14">
        <v>45329</v>
      </c>
      <c r="C400" s="18" t="s">
        <v>15</v>
      </c>
      <c r="D400" s="18" t="s">
        <v>33</v>
      </c>
      <c r="E400" s="18" t="s">
        <v>13</v>
      </c>
      <c r="F400" s="18" t="s">
        <v>18</v>
      </c>
      <c r="G400" s="15">
        <v>50</v>
      </c>
      <c r="H400" s="20">
        <v>300</v>
      </c>
      <c r="I400" s="21">
        <v>15000</v>
      </c>
      <c r="J400" s="21">
        <v>258</v>
      </c>
      <c r="K400" s="21">
        <v>2100</v>
      </c>
      <c r="L400" s="30">
        <f>MT1_[[#This Row],[Profit]]/MT1_[[#This Row],[Total Sales]]</f>
        <v>0.14000000000000001</v>
      </c>
    </row>
    <row r="401" spans="1:12" ht="15.6" x14ac:dyDescent="0.3">
      <c r="A401" s="15">
        <v>1401</v>
      </c>
      <c r="B401" s="14">
        <v>45326</v>
      </c>
      <c r="C401" s="18" t="s">
        <v>19</v>
      </c>
      <c r="D401" s="18" t="s">
        <v>34</v>
      </c>
      <c r="E401" s="18" t="s">
        <v>17</v>
      </c>
      <c r="F401" s="18" t="s">
        <v>29</v>
      </c>
      <c r="G401" s="15">
        <v>34</v>
      </c>
      <c r="H401" s="20">
        <v>15000</v>
      </c>
      <c r="I401" s="21">
        <v>510000</v>
      </c>
      <c r="J401" s="21">
        <v>12300</v>
      </c>
      <c r="K401" s="21">
        <v>91800</v>
      </c>
      <c r="L401" s="30">
        <f>MT1_[[#This Row],[Profit]]/MT1_[[#This Row],[Total Sales]]</f>
        <v>0.18</v>
      </c>
    </row>
    <row r="402" spans="1:12" ht="15.6" x14ac:dyDescent="0.3">
      <c r="A402" s="15">
        <v>1402</v>
      </c>
      <c r="B402" s="14">
        <v>45306</v>
      </c>
      <c r="C402" s="18" t="s">
        <v>11</v>
      </c>
      <c r="D402" s="18" t="s">
        <v>34</v>
      </c>
      <c r="E402" s="18" t="s">
        <v>28</v>
      </c>
      <c r="F402" s="18" t="s">
        <v>29</v>
      </c>
      <c r="G402" s="15">
        <v>78</v>
      </c>
      <c r="H402" s="20">
        <v>500</v>
      </c>
      <c r="I402" s="21">
        <v>39000</v>
      </c>
      <c r="J402" s="21">
        <v>400</v>
      </c>
      <c r="K402" s="21">
        <v>7800</v>
      </c>
      <c r="L402" s="30">
        <f>MT1_[[#This Row],[Profit]]/MT1_[[#This Row],[Total Sales]]</f>
        <v>0.2</v>
      </c>
    </row>
    <row r="403" spans="1:12" ht="15.6" x14ac:dyDescent="0.3">
      <c r="A403" s="15">
        <v>1403</v>
      </c>
      <c r="B403" s="14">
        <v>45355</v>
      </c>
      <c r="C403" s="18" t="s">
        <v>19</v>
      </c>
      <c r="D403" s="18" t="s">
        <v>16</v>
      </c>
      <c r="E403" s="18" t="s">
        <v>30</v>
      </c>
      <c r="F403" s="18" t="s">
        <v>29</v>
      </c>
      <c r="G403" s="15">
        <v>27</v>
      </c>
      <c r="H403" s="20">
        <v>500</v>
      </c>
      <c r="I403" s="21">
        <v>13500</v>
      </c>
      <c r="J403" s="21">
        <v>410</v>
      </c>
      <c r="K403" s="21">
        <v>2430</v>
      </c>
      <c r="L403" s="30">
        <f>MT1_[[#This Row],[Profit]]/MT1_[[#This Row],[Total Sales]]</f>
        <v>0.18</v>
      </c>
    </row>
    <row r="404" spans="1:12" ht="15.6" x14ac:dyDescent="0.3">
      <c r="A404" s="15">
        <v>1404</v>
      </c>
      <c r="B404" s="14">
        <v>45315</v>
      </c>
      <c r="C404" s="18" t="s">
        <v>19</v>
      </c>
      <c r="D404" s="18" t="s">
        <v>12</v>
      </c>
      <c r="E404" s="18" t="s">
        <v>30</v>
      </c>
      <c r="F404" s="18" t="s">
        <v>35</v>
      </c>
      <c r="G404" s="15">
        <v>42</v>
      </c>
      <c r="H404" s="20">
        <v>700</v>
      </c>
      <c r="I404" s="21">
        <v>29400</v>
      </c>
      <c r="J404" s="21">
        <v>546</v>
      </c>
      <c r="K404" s="21">
        <v>6468</v>
      </c>
      <c r="L404" s="30">
        <f>MT1_[[#This Row],[Profit]]/MT1_[[#This Row],[Total Sales]]</f>
        <v>0.22</v>
      </c>
    </row>
    <row r="405" spans="1:12" ht="15.6" x14ac:dyDescent="0.3">
      <c r="A405" s="15">
        <v>1405</v>
      </c>
      <c r="B405" s="14">
        <v>45294</v>
      </c>
      <c r="C405" s="18" t="s">
        <v>19</v>
      </c>
      <c r="D405" s="18" t="s">
        <v>32</v>
      </c>
      <c r="E405" s="18" t="s">
        <v>13</v>
      </c>
      <c r="F405" s="18" t="s">
        <v>31</v>
      </c>
      <c r="G405" s="15">
        <v>52</v>
      </c>
      <c r="H405" s="20">
        <v>15000</v>
      </c>
      <c r="I405" s="21">
        <v>780000</v>
      </c>
      <c r="J405" s="21">
        <v>13350</v>
      </c>
      <c r="K405" s="21">
        <v>85800</v>
      </c>
      <c r="L405" s="30">
        <f>MT1_[[#This Row],[Profit]]/MT1_[[#This Row],[Total Sales]]</f>
        <v>0.11</v>
      </c>
    </row>
    <row r="406" spans="1:12" ht="15.6" x14ac:dyDescent="0.3">
      <c r="A406" s="15">
        <v>1406</v>
      </c>
      <c r="B406" s="14">
        <v>45306</v>
      </c>
      <c r="C406" s="18" t="s">
        <v>19</v>
      </c>
      <c r="D406" s="18" t="s">
        <v>33</v>
      </c>
      <c r="E406" s="18" t="s">
        <v>17</v>
      </c>
      <c r="F406" s="18" t="s">
        <v>31</v>
      </c>
      <c r="G406" s="15">
        <v>53</v>
      </c>
      <c r="H406" s="20">
        <v>150</v>
      </c>
      <c r="I406" s="21">
        <v>7950</v>
      </c>
      <c r="J406" s="21">
        <v>129</v>
      </c>
      <c r="K406" s="21">
        <v>1113</v>
      </c>
      <c r="L406" s="30">
        <f>MT1_[[#This Row],[Profit]]/MT1_[[#This Row],[Total Sales]]</f>
        <v>0.14000000000000001</v>
      </c>
    </row>
    <row r="407" spans="1:12" ht="15.6" x14ac:dyDescent="0.3">
      <c r="A407" s="15">
        <v>1407</v>
      </c>
      <c r="B407" s="14">
        <v>45372</v>
      </c>
      <c r="C407" s="18" t="s">
        <v>15</v>
      </c>
      <c r="D407" s="18" t="s">
        <v>34</v>
      </c>
      <c r="E407" s="18" t="s">
        <v>17</v>
      </c>
      <c r="F407" s="18" t="s">
        <v>31</v>
      </c>
      <c r="G407" s="15">
        <v>25</v>
      </c>
      <c r="H407" s="20">
        <v>900</v>
      </c>
      <c r="I407" s="21">
        <v>22500</v>
      </c>
      <c r="J407" s="21">
        <v>630</v>
      </c>
      <c r="K407" s="21">
        <v>6750</v>
      </c>
      <c r="L407" s="30">
        <f>MT1_[[#This Row],[Profit]]/MT1_[[#This Row],[Total Sales]]</f>
        <v>0.3</v>
      </c>
    </row>
    <row r="408" spans="1:12" ht="15.6" x14ac:dyDescent="0.3">
      <c r="A408" s="15">
        <v>1408</v>
      </c>
      <c r="B408" s="14">
        <v>45297</v>
      </c>
      <c r="C408" s="18" t="s">
        <v>11</v>
      </c>
      <c r="D408" s="18" t="s">
        <v>32</v>
      </c>
      <c r="E408" s="18" t="s">
        <v>25</v>
      </c>
      <c r="F408" s="18" t="s">
        <v>24</v>
      </c>
      <c r="G408" s="15">
        <v>26</v>
      </c>
      <c r="H408" s="20">
        <v>500</v>
      </c>
      <c r="I408" s="21">
        <v>13000</v>
      </c>
      <c r="J408" s="21">
        <v>390</v>
      </c>
      <c r="K408" s="21">
        <v>2860</v>
      </c>
      <c r="L408" s="30">
        <f>MT1_[[#This Row],[Profit]]/MT1_[[#This Row],[Total Sales]]</f>
        <v>0.22</v>
      </c>
    </row>
    <row r="409" spans="1:12" ht="15.6" x14ac:dyDescent="0.3">
      <c r="A409" s="15">
        <v>1409</v>
      </c>
      <c r="B409" s="14">
        <v>45313</v>
      </c>
      <c r="C409" s="18" t="s">
        <v>15</v>
      </c>
      <c r="D409" s="18" t="s">
        <v>32</v>
      </c>
      <c r="E409" s="18" t="s">
        <v>17</v>
      </c>
      <c r="F409" s="18" t="s">
        <v>26</v>
      </c>
      <c r="G409" s="15">
        <v>23</v>
      </c>
      <c r="H409" s="20">
        <v>500</v>
      </c>
      <c r="I409" s="21">
        <v>11500</v>
      </c>
      <c r="J409" s="21">
        <v>430</v>
      </c>
      <c r="K409" s="21">
        <v>1610</v>
      </c>
      <c r="L409" s="30">
        <f>MT1_[[#This Row],[Profit]]/MT1_[[#This Row],[Total Sales]]</f>
        <v>0.14000000000000001</v>
      </c>
    </row>
    <row r="410" spans="1:12" ht="15.6" x14ac:dyDescent="0.3">
      <c r="A410" s="15">
        <v>1410</v>
      </c>
      <c r="B410" s="14">
        <v>45308</v>
      </c>
      <c r="C410" s="18" t="s">
        <v>11</v>
      </c>
      <c r="D410" s="18" t="s">
        <v>33</v>
      </c>
      <c r="E410" s="18" t="s">
        <v>28</v>
      </c>
      <c r="F410" s="18" t="s">
        <v>31</v>
      </c>
      <c r="G410" s="15">
        <v>89</v>
      </c>
      <c r="H410" s="20">
        <v>700</v>
      </c>
      <c r="I410" s="21">
        <v>62300</v>
      </c>
      <c r="J410" s="21">
        <v>553</v>
      </c>
      <c r="K410" s="21">
        <v>13083</v>
      </c>
      <c r="L410" s="30">
        <f>MT1_[[#This Row],[Profit]]/MT1_[[#This Row],[Total Sales]]</f>
        <v>0.21</v>
      </c>
    </row>
    <row r="411" spans="1:12" ht="15.6" x14ac:dyDescent="0.3">
      <c r="A411" s="15">
        <v>1411</v>
      </c>
      <c r="B411" s="14">
        <v>45297</v>
      </c>
      <c r="C411" s="18" t="s">
        <v>15</v>
      </c>
      <c r="D411" s="18" t="s">
        <v>33</v>
      </c>
      <c r="E411" s="18" t="s">
        <v>28</v>
      </c>
      <c r="F411" s="18" t="s">
        <v>29</v>
      </c>
      <c r="G411" s="15">
        <v>16</v>
      </c>
      <c r="H411" s="20">
        <v>300</v>
      </c>
      <c r="I411" s="21">
        <v>4800</v>
      </c>
      <c r="J411" s="21">
        <v>249</v>
      </c>
      <c r="K411" s="21">
        <v>816</v>
      </c>
      <c r="L411" s="30">
        <f>MT1_[[#This Row],[Profit]]/MT1_[[#This Row],[Total Sales]]</f>
        <v>0.17</v>
      </c>
    </row>
    <row r="412" spans="1:12" ht="15.6" x14ac:dyDescent="0.3">
      <c r="A412" s="15">
        <v>1412</v>
      </c>
      <c r="B412" s="14">
        <v>45364</v>
      </c>
      <c r="C412" s="18" t="s">
        <v>11</v>
      </c>
      <c r="D412" s="18" t="s">
        <v>33</v>
      </c>
      <c r="E412" s="18" t="s">
        <v>30</v>
      </c>
      <c r="F412" s="18" t="s">
        <v>27</v>
      </c>
      <c r="G412" s="15">
        <v>69</v>
      </c>
      <c r="H412" s="20">
        <v>700</v>
      </c>
      <c r="I412" s="21">
        <v>48300</v>
      </c>
      <c r="J412" s="21">
        <v>518</v>
      </c>
      <c r="K412" s="21">
        <v>12558</v>
      </c>
      <c r="L412" s="30">
        <f>MT1_[[#This Row],[Profit]]/MT1_[[#This Row],[Total Sales]]</f>
        <v>0.26</v>
      </c>
    </row>
    <row r="413" spans="1:12" ht="15.6" x14ac:dyDescent="0.3">
      <c r="A413" s="15">
        <v>1413</v>
      </c>
      <c r="B413" s="14">
        <v>45361</v>
      </c>
      <c r="C413" s="18" t="s">
        <v>21</v>
      </c>
      <c r="D413" s="18" t="s">
        <v>16</v>
      </c>
      <c r="E413" s="18" t="s">
        <v>13</v>
      </c>
      <c r="F413" s="18" t="s">
        <v>35</v>
      </c>
      <c r="G413" s="15">
        <v>3</v>
      </c>
      <c r="H413" s="20">
        <v>500</v>
      </c>
      <c r="I413" s="21">
        <v>1500</v>
      </c>
      <c r="J413" s="21">
        <v>405</v>
      </c>
      <c r="K413" s="21">
        <v>285</v>
      </c>
      <c r="L413" s="30">
        <f>MT1_[[#This Row],[Profit]]/MT1_[[#This Row],[Total Sales]]</f>
        <v>0.19</v>
      </c>
    </row>
    <row r="414" spans="1:12" ht="15.6" x14ac:dyDescent="0.3">
      <c r="A414" s="15">
        <v>1414</v>
      </c>
      <c r="B414" s="14">
        <v>45302</v>
      </c>
      <c r="C414" s="18" t="s">
        <v>19</v>
      </c>
      <c r="D414" s="18" t="s">
        <v>16</v>
      </c>
      <c r="E414" s="18" t="s">
        <v>25</v>
      </c>
      <c r="F414" s="18" t="s">
        <v>29</v>
      </c>
      <c r="G414" s="15">
        <v>92</v>
      </c>
      <c r="H414" s="20">
        <v>1200</v>
      </c>
      <c r="I414" s="21">
        <v>110400</v>
      </c>
      <c r="J414" s="21">
        <v>852</v>
      </c>
      <c r="K414" s="21">
        <v>32016</v>
      </c>
      <c r="L414" s="30">
        <f>MT1_[[#This Row],[Profit]]/MT1_[[#This Row],[Total Sales]]</f>
        <v>0.28999999999999998</v>
      </c>
    </row>
    <row r="415" spans="1:12" ht="15.6" x14ac:dyDescent="0.3">
      <c r="A415" s="15">
        <v>1415</v>
      </c>
      <c r="B415" s="14">
        <v>45332</v>
      </c>
      <c r="C415" s="18" t="s">
        <v>19</v>
      </c>
      <c r="D415" s="18" t="s">
        <v>33</v>
      </c>
      <c r="E415" s="18" t="s">
        <v>25</v>
      </c>
      <c r="F415" s="18" t="s">
        <v>18</v>
      </c>
      <c r="G415" s="15">
        <v>2</v>
      </c>
      <c r="H415" s="20">
        <v>1200</v>
      </c>
      <c r="I415" s="21">
        <v>2400</v>
      </c>
      <c r="J415" s="21">
        <v>936</v>
      </c>
      <c r="K415" s="21">
        <v>528</v>
      </c>
      <c r="L415" s="30">
        <f>MT1_[[#This Row],[Profit]]/MT1_[[#This Row],[Total Sales]]</f>
        <v>0.22</v>
      </c>
    </row>
    <row r="416" spans="1:12" ht="15.6" x14ac:dyDescent="0.3">
      <c r="A416" s="15">
        <v>1416</v>
      </c>
      <c r="B416" s="14">
        <v>45297</v>
      </c>
      <c r="C416" s="18" t="s">
        <v>20</v>
      </c>
      <c r="D416" s="18" t="s">
        <v>32</v>
      </c>
      <c r="E416" s="18" t="s">
        <v>13</v>
      </c>
      <c r="F416" s="18" t="s">
        <v>24</v>
      </c>
      <c r="G416" s="15">
        <v>10</v>
      </c>
      <c r="H416" s="20">
        <v>500</v>
      </c>
      <c r="I416" s="21">
        <v>5000</v>
      </c>
      <c r="J416" s="21">
        <v>390</v>
      </c>
      <c r="K416" s="21">
        <v>1100</v>
      </c>
      <c r="L416" s="30">
        <f>MT1_[[#This Row],[Profit]]/MT1_[[#This Row],[Total Sales]]</f>
        <v>0.22</v>
      </c>
    </row>
    <row r="417" spans="1:12" ht="15.6" x14ac:dyDescent="0.3">
      <c r="A417" s="15">
        <v>1417</v>
      </c>
      <c r="B417" s="14">
        <v>45297</v>
      </c>
      <c r="C417" s="18" t="s">
        <v>11</v>
      </c>
      <c r="D417" s="18" t="s">
        <v>34</v>
      </c>
      <c r="E417" s="18" t="s">
        <v>28</v>
      </c>
      <c r="F417" s="18" t="s">
        <v>31</v>
      </c>
      <c r="G417" s="15">
        <v>54</v>
      </c>
      <c r="H417" s="20">
        <v>1200</v>
      </c>
      <c r="I417" s="21">
        <v>64800</v>
      </c>
      <c r="J417" s="21">
        <v>1080</v>
      </c>
      <c r="K417" s="21">
        <v>6480</v>
      </c>
      <c r="L417" s="30">
        <f>MT1_[[#This Row],[Profit]]/MT1_[[#This Row],[Total Sales]]</f>
        <v>0.1</v>
      </c>
    </row>
    <row r="418" spans="1:12" ht="15.6" x14ac:dyDescent="0.3">
      <c r="A418" s="15">
        <v>1418</v>
      </c>
      <c r="B418" s="14">
        <v>45306</v>
      </c>
      <c r="C418" s="18" t="s">
        <v>19</v>
      </c>
      <c r="D418" s="18" t="s">
        <v>12</v>
      </c>
      <c r="E418" s="18" t="s">
        <v>13</v>
      </c>
      <c r="F418" s="18" t="s">
        <v>24</v>
      </c>
      <c r="G418" s="15">
        <v>26</v>
      </c>
      <c r="H418" s="20">
        <v>30000</v>
      </c>
      <c r="I418" s="21">
        <v>780000</v>
      </c>
      <c r="J418" s="21">
        <v>26700</v>
      </c>
      <c r="K418" s="21">
        <v>85800</v>
      </c>
      <c r="L418" s="30">
        <f>MT1_[[#This Row],[Profit]]/MT1_[[#This Row],[Total Sales]]</f>
        <v>0.11</v>
      </c>
    </row>
    <row r="419" spans="1:12" ht="15.6" x14ac:dyDescent="0.3">
      <c r="A419" s="15">
        <v>1419</v>
      </c>
      <c r="B419" s="14">
        <v>45358</v>
      </c>
      <c r="C419" s="18" t="s">
        <v>19</v>
      </c>
      <c r="D419" s="18" t="s">
        <v>34</v>
      </c>
      <c r="E419" s="18" t="s">
        <v>28</v>
      </c>
      <c r="F419" s="18" t="s">
        <v>31</v>
      </c>
      <c r="G419" s="15">
        <v>7</v>
      </c>
      <c r="H419" s="20">
        <v>300</v>
      </c>
      <c r="I419" s="21">
        <v>2100</v>
      </c>
      <c r="J419" s="21">
        <v>264</v>
      </c>
      <c r="K419" s="21">
        <v>252</v>
      </c>
      <c r="L419" s="30">
        <f>MT1_[[#This Row],[Profit]]/MT1_[[#This Row],[Total Sales]]</f>
        <v>0.12</v>
      </c>
    </row>
    <row r="420" spans="1:12" ht="15.6" x14ac:dyDescent="0.3">
      <c r="A420" s="15">
        <v>1420</v>
      </c>
      <c r="B420" s="14">
        <v>45351</v>
      </c>
      <c r="C420" s="18" t="s">
        <v>21</v>
      </c>
      <c r="D420" s="18" t="s">
        <v>32</v>
      </c>
      <c r="E420" s="18" t="s">
        <v>13</v>
      </c>
      <c r="F420" s="18" t="s">
        <v>35</v>
      </c>
      <c r="G420" s="15">
        <v>64</v>
      </c>
      <c r="H420" s="20">
        <v>30000</v>
      </c>
      <c r="I420" s="21">
        <v>1920000</v>
      </c>
      <c r="J420" s="21">
        <v>21600</v>
      </c>
      <c r="K420" s="21">
        <v>537600</v>
      </c>
      <c r="L420" s="30">
        <f>MT1_[[#This Row],[Profit]]/MT1_[[#This Row],[Total Sales]]</f>
        <v>0.28000000000000003</v>
      </c>
    </row>
    <row r="421" spans="1:12" ht="15.6" x14ac:dyDescent="0.3">
      <c r="A421" s="15">
        <v>1421</v>
      </c>
      <c r="B421" s="14">
        <v>45373</v>
      </c>
      <c r="C421" s="18" t="s">
        <v>11</v>
      </c>
      <c r="D421" s="18" t="s">
        <v>34</v>
      </c>
      <c r="E421" s="18" t="s">
        <v>30</v>
      </c>
      <c r="F421" s="18" t="s">
        <v>36</v>
      </c>
      <c r="G421" s="15">
        <v>50</v>
      </c>
      <c r="H421" s="20">
        <v>250</v>
      </c>
      <c r="I421" s="21">
        <v>12500</v>
      </c>
      <c r="J421" s="21">
        <v>190</v>
      </c>
      <c r="K421" s="21">
        <v>3000</v>
      </c>
      <c r="L421" s="30">
        <f>MT1_[[#This Row],[Profit]]/MT1_[[#This Row],[Total Sales]]</f>
        <v>0.24</v>
      </c>
    </row>
    <row r="422" spans="1:12" ht="15.6" x14ac:dyDescent="0.3">
      <c r="A422" s="15">
        <v>1422</v>
      </c>
      <c r="B422" s="14">
        <v>45312</v>
      </c>
      <c r="C422" s="18" t="s">
        <v>21</v>
      </c>
      <c r="D422" s="18" t="s">
        <v>16</v>
      </c>
      <c r="E422" s="18" t="s">
        <v>25</v>
      </c>
      <c r="F422" s="18" t="s">
        <v>18</v>
      </c>
      <c r="G422" s="15">
        <v>54</v>
      </c>
      <c r="H422" s="20">
        <v>1200</v>
      </c>
      <c r="I422" s="21">
        <v>64800</v>
      </c>
      <c r="J422" s="21">
        <v>996</v>
      </c>
      <c r="K422" s="21">
        <v>11016</v>
      </c>
      <c r="L422" s="30">
        <f>MT1_[[#This Row],[Profit]]/MT1_[[#This Row],[Total Sales]]</f>
        <v>0.17</v>
      </c>
    </row>
    <row r="423" spans="1:12" ht="15.6" x14ac:dyDescent="0.3">
      <c r="A423" s="15">
        <v>1423</v>
      </c>
      <c r="B423" s="14">
        <v>45299</v>
      </c>
      <c r="C423" s="18" t="s">
        <v>15</v>
      </c>
      <c r="D423" s="18" t="s">
        <v>12</v>
      </c>
      <c r="E423" s="18" t="s">
        <v>17</v>
      </c>
      <c r="F423" s="18" t="s">
        <v>18</v>
      </c>
      <c r="G423" s="15">
        <v>1</v>
      </c>
      <c r="H423" s="20">
        <v>150</v>
      </c>
      <c r="I423" s="21">
        <v>150</v>
      </c>
      <c r="J423" s="21">
        <v>115.5</v>
      </c>
      <c r="K423" s="21">
        <v>34.5</v>
      </c>
      <c r="L423" s="30">
        <f>MT1_[[#This Row],[Profit]]/MT1_[[#This Row],[Total Sales]]</f>
        <v>0.23</v>
      </c>
    </row>
    <row r="424" spans="1:12" ht="15.6" x14ac:dyDescent="0.3">
      <c r="A424" s="15">
        <v>1424</v>
      </c>
      <c r="B424" s="14">
        <v>45314</v>
      </c>
      <c r="C424" s="18" t="s">
        <v>21</v>
      </c>
      <c r="D424" s="18" t="s">
        <v>34</v>
      </c>
      <c r="E424" s="18" t="s">
        <v>17</v>
      </c>
      <c r="F424" s="18" t="s">
        <v>27</v>
      </c>
      <c r="G424" s="15">
        <v>93</v>
      </c>
      <c r="H424" s="20">
        <v>150</v>
      </c>
      <c r="I424" s="21">
        <v>13950</v>
      </c>
      <c r="J424" s="21">
        <v>121.5</v>
      </c>
      <c r="K424" s="21">
        <v>2650.5</v>
      </c>
      <c r="L424" s="30">
        <f>MT1_[[#This Row],[Profit]]/MT1_[[#This Row],[Total Sales]]</f>
        <v>0.19</v>
      </c>
    </row>
    <row r="425" spans="1:12" ht="15.6" x14ac:dyDescent="0.3">
      <c r="A425" s="15">
        <v>1425</v>
      </c>
      <c r="B425" s="14">
        <v>45374</v>
      </c>
      <c r="C425" s="18" t="s">
        <v>19</v>
      </c>
      <c r="D425" s="18" t="s">
        <v>34</v>
      </c>
      <c r="E425" s="18" t="s">
        <v>30</v>
      </c>
      <c r="F425" s="18" t="s">
        <v>24</v>
      </c>
      <c r="G425" s="15">
        <v>64</v>
      </c>
      <c r="H425" s="20">
        <v>300</v>
      </c>
      <c r="I425" s="21">
        <v>19200</v>
      </c>
      <c r="J425" s="21">
        <v>216</v>
      </c>
      <c r="K425" s="21">
        <v>5376</v>
      </c>
      <c r="L425" s="30">
        <f>MT1_[[#This Row],[Profit]]/MT1_[[#This Row],[Total Sales]]</f>
        <v>0.28000000000000003</v>
      </c>
    </row>
    <row r="426" spans="1:12" ht="15.6" x14ac:dyDescent="0.3">
      <c r="A426" s="15">
        <v>1426</v>
      </c>
      <c r="B426" s="14">
        <v>45381</v>
      </c>
      <c r="C426" s="18" t="s">
        <v>20</v>
      </c>
      <c r="D426" s="18" t="s">
        <v>16</v>
      </c>
      <c r="E426" s="18" t="s">
        <v>17</v>
      </c>
      <c r="F426" s="18" t="s">
        <v>14</v>
      </c>
      <c r="G426" s="15">
        <v>4</v>
      </c>
      <c r="H426" s="20">
        <v>150</v>
      </c>
      <c r="I426" s="21">
        <v>600</v>
      </c>
      <c r="J426" s="21">
        <v>117</v>
      </c>
      <c r="K426" s="21">
        <v>132</v>
      </c>
      <c r="L426" s="30">
        <f>MT1_[[#This Row],[Profit]]/MT1_[[#This Row],[Total Sales]]</f>
        <v>0.22</v>
      </c>
    </row>
    <row r="427" spans="1:12" ht="15.6" x14ac:dyDescent="0.3">
      <c r="A427" s="15">
        <v>1427</v>
      </c>
      <c r="B427" s="14">
        <v>45357</v>
      </c>
      <c r="C427" s="18" t="s">
        <v>15</v>
      </c>
      <c r="D427" s="18" t="s">
        <v>33</v>
      </c>
      <c r="E427" s="18" t="s">
        <v>28</v>
      </c>
      <c r="F427" s="18" t="s">
        <v>26</v>
      </c>
      <c r="G427" s="15">
        <v>60</v>
      </c>
      <c r="H427" s="20">
        <v>250</v>
      </c>
      <c r="I427" s="21">
        <v>15000</v>
      </c>
      <c r="J427" s="21">
        <v>222.5</v>
      </c>
      <c r="K427" s="21">
        <v>1650</v>
      </c>
      <c r="L427" s="30">
        <f>MT1_[[#This Row],[Profit]]/MT1_[[#This Row],[Total Sales]]</f>
        <v>0.11</v>
      </c>
    </row>
    <row r="428" spans="1:12" ht="15.6" x14ac:dyDescent="0.3">
      <c r="A428" s="15">
        <v>1428</v>
      </c>
      <c r="B428" s="14">
        <v>45328</v>
      </c>
      <c r="C428" s="18" t="s">
        <v>11</v>
      </c>
      <c r="D428" s="18" t="s">
        <v>34</v>
      </c>
      <c r="E428" s="18" t="s">
        <v>17</v>
      </c>
      <c r="F428" s="18" t="s">
        <v>31</v>
      </c>
      <c r="G428" s="15">
        <v>30</v>
      </c>
      <c r="H428" s="20">
        <v>30000</v>
      </c>
      <c r="I428" s="21">
        <v>900000</v>
      </c>
      <c r="J428" s="21">
        <v>24900</v>
      </c>
      <c r="K428" s="21">
        <v>153000</v>
      </c>
      <c r="L428" s="30">
        <f>MT1_[[#This Row],[Profit]]/MT1_[[#This Row],[Total Sales]]</f>
        <v>0.17</v>
      </c>
    </row>
    <row r="429" spans="1:12" ht="15.6" x14ac:dyDescent="0.3">
      <c r="A429" s="15">
        <v>1429</v>
      </c>
      <c r="B429" s="14">
        <v>45328</v>
      </c>
      <c r="C429" s="18" t="s">
        <v>21</v>
      </c>
      <c r="D429" s="18" t="s">
        <v>33</v>
      </c>
      <c r="E429" s="18" t="s">
        <v>13</v>
      </c>
      <c r="F429" s="18" t="s">
        <v>23</v>
      </c>
      <c r="G429" s="15">
        <v>3</v>
      </c>
      <c r="H429" s="20">
        <v>1200</v>
      </c>
      <c r="I429" s="21">
        <v>3600</v>
      </c>
      <c r="J429" s="21">
        <v>900</v>
      </c>
      <c r="K429" s="21">
        <v>900</v>
      </c>
      <c r="L429" s="30">
        <f>MT1_[[#This Row],[Profit]]/MT1_[[#This Row],[Total Sales]]</f>
        <v>0.25</v>
      </c>
    </row>
    <row r="430" spans="1:12" ht="15.6" x14ac:dyDescent="0.3">
      <c r="A430" s="15">
        <v>1430</v>
      </c>
      <c r="B430" s="14">
        <v>45296</v>
      </c>
      <c r="C430" s="18" t="s">
        <v>19</v>
      </c>
      <c r="D430" s="18" t="s">
        <v>34</v>
      </c>
      <c r="E430" s="18" t="s">
        <v>30</v>
      </c>
      <c r="F430" s="18" t="s">
        <v>29</v>
      </c>
      <c r="G430" s="15">
        <v>49</v>
      </c>
      <c r="H430" s="20">
        <v>30000</v>
      </c>
      <c r="I430" s="21">
        <v>1470000</v>
      </c>
      <c r="J430" s="21">
        <v>24300</v>
      </c>
      <c r="K430" s="21">
        <v>279300</v>
      </c>
      <c r="L430" s="30">
        <f>MT1_[[#This Row],[Profit]]/MT1_[[#This Row],[Total Sales]]</f>
        <v>0.19</v>
      </c>
    </row>
    <row r="431" spans="1:12" ht="15.6" x14ac:dyDescent="0.3">
      <c r="A431" s="15">
        <v>1431</v>
      </c>
      <c r="B431" s="14">
        <v>45321</v>
      </c>
      <c r="C431" s="18" t="s">
        <v>11</v>
      </c>
      <c r="D431" s="18" t="s">
        <v>16</v>
      </c>
      <c r="E431" s="18" t="s">
        <v>13</v>
      </c>
      <c r="F431" s="18" t="s">
        <v>35</v>
      </c>
      <c r="G431" s="15">
        <v>74</v>
      </c>
      <c r="H431" s="20">
        <v>700</v>
      </c>
      <c r="I431" s="21">
        <v>51800</v>
      </c>
      <c r="J431" s="21">
        <v>581</v>
      </c>
      <c r="K431" s="21">
        <v>8806</v>
      </c>
      <c r="L431" s="30">
        <f>MT1_[[#This Row],[Profit]]/MT1_[[#This Row],[Total Sales]]</f>
        <v>0.17</v>
      </c>
    </row>
    <row r="432" spans="1:12" ht="15.6" x14ac:dyDescent="0.3">
      <c r="A432" s="15">
        <v>1432</v>
      </c>
      <c r="B432" s="14">
        <v>45354</v>
      </c>
      <c r="C432" s="18" t="s">
        <v>21</v>
      </c>
      <c r="D432" s="18" t="s">
        <v>33</v>
      </c>
      <c r="E432" s="18" t="s">
        <v>28</v>
      </c>
      <c r="F432" s="18" t="s">
        <v>14</v>
      </c>
      <c r="G432" s="15">
        <v>19</v>
      </c>
      <c r="H432" s="20">
        <v>15000</v>
      </c>
      <c r="I432" s="21">
        <v>285000</v>
      </c>
      <c r="J432" s="21">
        <v>13350</v>
      </c>
      <c r="K432" s="21">
        <v>31350</v>
      </c>
      <c r="L432" s="30">
        <f>MT1_[[#This Row],[Profit]]/MT1_[[#This Row],[Total Sales]]</f>
        <v>0.11</v>
      </c>
    </row>
    <row r="433" spans="1:12" ht="15.6" x14ac:dyDescent="0.3">
      <c r="A433" s="15">
        <v>1433</v>
      </c>
      <c r="B433" s="14">
        <v>45374</v>
      </c>
      <c r="C433" s="18" t="s">
        <v>21</v>
      </c>
      <c r="D433" s="18" t="s">
        <v>16</v>
      </c>
      <c r="E433" s="18" t="s">
        <v>30</v>
      </c>
      <c r="F433" s="18" t="s">
        <v>36</v>
      </c>
      <c r="G433" s="15">
        <v>46</v>
      </c>
      <c r="H433" s="20">
        <v>300</v>
      </c>
      <c r="I433" s="21">
        <v>13800</v>
      </c>
      <c r="J433" s="21">
        <v>261</v>
      </c>
      <c r="K433" s="21">
        <v>1794</v>
      </c>
      <c r="L433" s="30">
        <f>MT1_[[#This Row],[Profit]]/MT1_[[#This Row],[Total Sales]]</f>
        <v>0.13</v>
      </c>
    </row>
    <row r="434" spans="1:12" ht="15.6" x14ac:dyDescent="0.3">
      <c r="A434" s="15">
        <v>1434</v>
      </c>
      <c r="B434" s="14">
        <v>45303</v>
      </c>
      <c r="C434" s="18" t="s">
        <v>15</v>
      </c>
      <c r="D434" s="18" t="s">
        <v>33</v>
      </c>
      <c r="E434" s="18" t="s">
        <v>30</v>
      </c>
      <c r="F434" s="18" t="s">
        <v>29</v>
      </c>
      <c r="G434" s="15">
        <v>43</v>
      </c>
      <c r="H434" s="20">
        <v>50</v>
      </c>
      <c r="I434" s="21">
        <v>2150</v>
      </c>
      <c r="J434" s="21">
        <v>44.5</v>
      </c>
      <c r="K434" s="21">
        <v>236.5</v>
      </c>
      <c r="L434" s="30">
        <f>MT1_[[#This Row],[Profit]]/MT1_[[#This Row],[Total Sales]]</f>
        <v>0.11</v>
      </c>
    </row>
    <row r="435" spans="1:12" ht="15.6" x14ac:dyDescent="0.3">
      <c r="A435" s="15">
        <v>1435</v>
      </c>
      <c r="B435" s="14">
        <v>45348</v>
      </c>
      <c r="C435" s="18" t="s">
        <v>15</v>
      </c>
      <c r="D435" s="18" t="s">
        <v>34</v>
      </c>
      <c r="E435" s="18" t="s">
        <v>13</v>
      </c>
      <c r="F435" s="18" t="s">
        <v>23</v>
      </c>
      <c r="G435" s="15">
        <v>69</v>
      </c>
      <c r="H435" s="20">
        <v>900</v>
      </c>
      <c r="I435" s="21">
        <v>62100</v>
      </c>
      <c r="J435" s="21">
        <v>774</v>
      </c>
      <c r="K435" s="21">
        <v>8694</v>
      </c>
      <c r="L435" s="30">
        <f>MT1_[[#This Row],[Profit]]/MT1_[[#This Row],[Total Sales]]</f>
        <v>0.14000000000000001</v>
      </c>
    </row>
    <row r="436" spans="1:12" ht="15.6" x14ac:dyDescent="0.3">
      <c r="A436" s="15">
        <v>1436</v>
      </c>
      <c r="B436" s="14">
        <v>45306</v>
      </c>
      <c r="C436" s="18" t="s">
        <v>21</v>
      </c>
      <c r="D436" s="18" t="s">
        <v>32</v>
      </c>
      <c r="E436" s="18" t="s">
        <v>30</v>
      </c>
      <c r="F436" s="18" t="s">
        <v>23</v>
      </c>
      <c r="G436" s="15">
        <v>20</v>
      </c>
      <c r="H436" s="20">
        <v>300</v>
      </c>
      <c r="I436" s="21">
        <v>6000</v>
      </c>
      <c r="J436" s="21">
        <v>228</v>
      </c>
      <c r="K436" s="21">
        <v>1440</v>
      </c>
      <c r="L436" s="30">
        <f>MT1_[[#This Row],[Profit]]/MT1_[[#This Row],[Total Sales]]</f>
        <v>0.24</v>
      </c>
    </row>
    <row r="437" spans="1:12" ht="15.6" x14ac:dyDescent="0.3">
      <c r="A437" s="15">
        <v>1437</v>
      </c>
      <c r="B437" s="14">
        <v>45351</v>
      </c>
      <c r="C437" s="18" t="s">
        <v>19</v>
      </c>
      <c r="D437" s="18" t="s">
        <v>16</v>
      </c>
      <c r="E437" s="18" t="s">
        <v>30</v>
      </c>
      <c r="F437" s="18" t="s">
        <v>14</v>
      </c>
      <c r="G437" s="15">
        <v>26</v>
      </c>
      <c r="H437" s="20">
        <v>250</v>
      </c>
      <c r="I437" s="21">
        <v>6500</v>
      </c>
      <c r="J437" s="21">
        <v>192.5</v>
      </c>
      <c r="K437" s="21">
        <v>1495</v>
      </c>
      <c r="L437" s="30">
        <f>MT1_[[#This Row],[Profit]]/MT1_[[#This Row],[Total Sales]]</f>
        <v>0.23</v>
      </c>
    </row>
    <row r="438" spans="1:12" ht="15.6" x14ac:dyDescent="0.3">
      <c r="A438" s="15">
        <v>1438</v>
      </c>
      <c r="B438" s="14">
        <v>45304</v>
      </c>
      <c r="C438" s="18" t="s">
        <v>15</v>
      </c>
      <c r="D438" s="18" t="s">
        <v>32</v>
      </c>
      <c r="E438" s="18" t="s">
        <v>28</v>
      </c>
      <c r="F438" s="18" t="s">
        <v>36</v>
      </c>
      <c r="G438" s="15">
        <v>81</v>
      </c>
      <c r="H438" s="20">
        <v>30000</v>
      </c>
      <c r="I438" s="21">
        <v>2430000</v>
      </c>
      <c r="J438" s="21">
        <v>21900</v>
      </c>
      <c r="K438" s="21">
        <v>656100</v>
      </c>
      <c r="L438" s="30">
        <f>MT1_[[#This Row],[Profit]]/MT1_[[#This Row],[Total Sales]]</f>
        <v>0.27</v>
      </c>
    </row>
    <row r="439" spans="1:12" ht="15.6" x14ac:dyDescent="0.3">
      <c r="A439" s="15">
        <v>1439</v>
      </c>
      <c r="B439" s="14">
        <v>45320</v>
      </c>
      <c r="C439" s="18" t="s">
        <v>11</v>
      </c>
      <c r="D439" s="18" t="s">
        <v>32</v>
      </c>
      <c r="E439" s="18" t="s">
        <v>30</v>
      </c>
      <c r="F439" s="18" t="s">
        <v>24</v>
      </c>
      <c r="G439" s="15">
        <v>49</v>
      </c>
      <c r="H439" s="20">
        <v>900</v>
      </c>
      <c r="I439" s="21">
        <v>44100</v>
      </c>
      <c r="J439" s="21">
        <v>801</v>
      </c>
      <c r="K439" s="21">
        <v>4851</v>
      </c>
      <c r="L439" s="30">
        <f>MT1_[[#This Row],[Profit]]/MT1_[[#This Row],[Total Sales]]</f>
        <v>0.11</v>
      </c>
    </row>
    <row r="440" spans="1:12" ht="15.6" x14ac:dyDescent="0.3">
      <c r="A440" s="15">
        <v>1440</v>
      </c>
      <c r="B440" s="14">
        <v>45319</v>
      </c>
      <c r="C440" s="18" t="s">
        <v>19</v>
      </c>
      <c r="D440" s="18" t="s">
        <v>33</v>
      </c>
      <c r="E440" s="18" t="s">
        <v>25</v>
      </c>
      <c r="F440" s="18" t="s">
        <v>18</v>
      </c>
      <c r="G440" s="15">
        <v>2</v>
      </c>
      <c r="H440" s="20">
        <v>250</v>
      </c>
      <c r="I440" s="21">
        <v>500</v>
      </c>
      <c r="J440" s="21">
        <v>197.5</v>
      </c>
      <c r="K440" s="21">
        <v>105</v>
      </c>
      <c r="L440" s="30">
        <f>MT1_[[#This Row],[Profit]]/MT1_[[#This Row],[Total Sales]]</f>
        <v>0.21</v>
      </c>
    </row>
    <row r="441" spans="1:12" ht="15.6" x14ac:dyDescent="0.3">
      <c r="A441" s="15">
        <v>1441</v>
      </c>
      <c r="B441" s="14">
        <v>45309</v>
      </c>
      <c r="C441" s="18" t="s">
        <v>15</v>
      </c>
      <c r="D441" s="18" t="s">
        <v>32</v>
      </c>
      <c r="E441" s="18" t="s">
        <v>25</v>
      </c>
      <c r="F441" s="18" t="s">
        <v>31</v>
      </c>
      <c r="G441" s="15">
        <v>87</v>
      </c>
      <c r="H441" s="20">
        <v>15000</v>
      </c>
      <c r="I441" s="21">
        <v>1305000</v>
      </c>
      <c r="J441" s="21">
        <v>10650</v>
      </c>
      <c r="K441" s="21">
        <v>378450</v>
      </c>
      <c r="L441" s="30">
        <f>MT1_[[#This Row],[Profit]]/MT1_[[#This Row],[Total Sales]]</f>
        <v>0.28999999999999998</v>
      </c>
    </row>
    <row r="442" spans="1:12" ht="15.6" x14ac:dyDescent="0.3">
      <c r="A442" s="15">
        <v>1442</v>
      </c>
      <c r="B442" s="14">
        <v>45330</v>
      </c>
      <c r="C442" s="18" t="s">
        <v>21</v>
      </c>
      <c r="D442" s="18" t="s">
        <v>12</v>
      </c>
      <c r="E442" s="18" t="s">
        <v>13</v>
      </c>
      <c r="F442" s="18" t="s">
        <v>31</v>
      </c>
      <c r="G442" s="15">
        <v>35</v>
      </c>
      <c r="H442" s="20">
        <v>30000</v>
      </c>
      <c r="I442" s="21">
        <v>1050000</v>
      </c>
      <c r="J442" s="21">
        <v>23400</v>
      </c>
      <c r="K442" s="21">
        <v>231000</v>
      </c>
      <c r="L442" s="30">
        <f>MT1_[[#This Row],[Profit]]/MT1_[[#This Row],[Total Sales]]</f>
        <v>0.22</v>
      </c>
    </row>
    <row r="443" spans="1:12" ht="15.6" x14ac:dyDescent="0.3">
      <c r="A443" s="15">
        <v>1443</v>
      </c>
      <c r="B443" s="14">
        <v>45344</v>
      </c>
      <c r="C443" s="18" t="s">
        <v>11</v>
      </c>
      <c r="D443" s="18" t="s">
        <v>34</v>
      </c>
      <c r="E443" s="18" t="s">
        <v>30</v>
      </c>
      <c r="F443" s="18" t="s">
        <v>23</v>
      </c>
      <c r="G443" s="15">
        <v>92</v>
      </c>
      <c r="H443" s="20">
        <v>900</v>
      </c>
      <c r="I443" s="21">
        <v>82800</v>
      </c>
      <c r="J443" s="21">
        <v>720</v>
      </c>
      <c r="K443" s="21">
        <v>16560</v>
      </c>
      <c r="L443" s="30">
        <f>MT1_[[#This Row],[Profit]]/MT1_[[#This Row],[Total Sales]]</f>
        <v>0.2</v>
      </c>
    </row>
    <row r="444" spans="1:12" ht="15.6" x14ac:dyDescent="0.3">
      <c r="A444" s="15">
        <v>1444</v>
      </c>
      <c r="B444" s="14">
        <v>45354</v>
      </c>
      <c r="C444" s="18" t="s">
        <v>20</v>
      </c>
      <c r="D444" s="18" t="s">
        <v>12</v>
      </c>
      <c r="E444" s="18" t="s">
        <v>30</v>
      </c>
      <c r="F444" s="18" t="s">
        <v>18</v>
      </c>
      <c r="G444" s="15">
        <v>35</v>
      </c>
      <c r="H444" s="20">
        <v>250</v>
      </c>
      <c r="I444" s="21">
        <v>8750</v>
      </c>
      <c r="J444" s="21">
        <v>225</v>
      </c>
      <c r="K444" s="21">
        <v>875</v>
      </c>
      <c r="L444" s="30">
        <f>MT1_[[#This Row],[Profit]]/MT1_[[#This Row],[Total Sales]]</f>
        <v>0.1</v>
      </c>
    </row>
    <row r="445" spans="1:12" ht="15.6" x14ac:dyDescent="0.3">
      <c r="A445" s="15">
        <v>1445</v>
      </c>
      <c r="B445" s="14">
        <v>45382</v>
      </c>
      <c r="C445" s="18" t="s">
        <v>21</v>
      </c>
      <c r="D445" s="18" t="s">
        <v>16</v>
      </c>
      <c r="E445" s="18" t="s">
        <v>13</v>
      </c>
      <c r="F445" s="18" t="s">
        <v>24</v>
      </c>
      <c r="G445" s="15">
        <v>91</v>
      </c>
      <c r="H445" s="20">
        <v>150</v>
      </c>
      <c r="I445" s="21">
        <v>13650</v>
      </c>
      <c r="J445" s="21">
        <v>114</v>
      </c>
      <c r="K445" s="21">
        <v>3276</v>
      </c>
      <c r="L445" s="30">
        <f>MT1_[[#This Row],[Profit]]/MT1_[[#This Row],[Total Sales]]</f>
        <v>0.24</v>
      </c>
    </row>
    <row r="446" spans="1:12" ht="15.6" x14ac:dyDescent="0.3">
      <c r="A446" s="15">
        <v>1446</v>
      </c>
      <c r="B446" s="14">
        <v>45367</v>
      </c>
      <c r="C446" s="18" t="s">
        <v>15</v>
      </c>
      <c r="D446" s="18" t="s">
        <v>34</v>
      </c>
      <c r="E446" s="18" t="s">
        <v>28</v>
      </c>
      <c r="F446" s="18" t="s">
        <v>27</v>
      </c>
      <c r="G446" s="15">
        <v>27</v>
      </c>
      <c r="H446" s="20">
        <v>900</v>
      </c>
      <c r="I446" s="21">
        <v>24300</v>
      </c>
      <c r="J446" s="21">
        <v>810</v>
      </c>
      <c r="K446" s="21">
        <v>2430</v>
      </c>
      <c r="L446" s="30">
        <f>MT1_[[#This Row],[Profit]]/MT1_[[#This Row],[Total Sales]]</f>
        <v>0.1</v>
      </c>
    </row>
    <row r="447" spans="1:12" ht="15.6" x14ac:dyDescent="0.3">
      <c r="A447" s="15">
        <v>1447</v>
      </c>
      <c r="B447" s="14">
        <v>45312</v>
      </c>
      <c r="C447" s="18" t="s">
        <v>21</v>
      </c>
      <c r="D447" s="18" t="s">
        <v>16</v>
      </c>
      <c r="E447" s="18" t="s">
        <v>13</v>
      </c>
      <c r="F447" s="18" t="s">
        <v>31</v>
      </c>
      <c r="G447" s="15">
        <v>94</v>
      </c>
      <c r="H447" s="20">
        <v>1200</v>
      </c>
      <c r="I447" s="21">
        <v>112800</v>
      </c>
      <c r="J447" s="21">
        <v>852</v>
      </c>
      <c r="K447" s="21">
        <v>32712</v>
      </c>
      <c r="L447" s="30">
        <f>MT1_[[#This Row],[Profit]]/MT1_[[#This Row],[Total Sales]]</f>
        <v>0.28999999999999998</v>
      </c>
    </row>
    <row r="448" spans="1:12" ht="15.6" x14ac:dyDescent="0.3">
      <c r="A448" s="15">
        <v>1448</v>
      </c>
      <c r="B448" s="14">
        <v>45338</v>
      </c>
      <c r="C448" s="18" t="s">
        <v>21</v>
      </c>
      <c r="D448" s="18" t="s">
        <v>16</v>
      </c>
      <c r="E448" s="18" t="s">
        <v>25</v>
      </c>
      <c r="F448" s="18" t="s">
        <v>31</v>
      </c>
      <c r="G448" s="15">
        <v>62</v>
      </c>
      <c r="H448" s="20">
        <v>15000</v>
      </c>
      <c r="I448" s="21">
        <v>930000</v>
      </c>
      <c r="J448" s="21">
        <v>12000</v>
      </c>
      <c r="K448" s="21">
        <v>186000</v>
      </c>
      <c r="L448" s="30">
        <f>MT1_[[#This Row],[Profit]]/MT1_[[#This Row],[Total Sales]]</f>
        <v>0.2</v>
      </c>
    </row>
    <row r="449" spans="1:12" ht="15.6" x14ac:dyDescent="0.3">
      <c r="A449" s="15">
        <v>1449</v>
      </c>
      <c r="B449" s="14">
        <v>45293</v>
      </c>
      <c r="C449" s="18" t="s">
        <v>15</v>
      </c>
      <c r="D449" s="18" t="s">
        <v>16</v>
      </c>
      <c r="E449" s="18" t="s">
        <v>28</v>
      </c>
      <c r="F449" s="18" t="s">
        <v>27</v>
      </c>
      <c r="G449" s="15">
        <v>16</v>
      </c>
      <c r="H449" s="20">
        <v>50</v>
      </c>
      <c r="I449" s="21">
        <v>800</v>
      </c>
      <c r="J449" s="21">
        <v>41.5</v>
      </c>
      <c r="K449" s="21">
        <v>136</v>
      </c>
      <c r="L449" s="30">
        <f>MT1_[[#This Row],[Profit]]/MT1_[[#This Row],[Total Sales]]</f>
        <v>0.17</v>
      </c>
    </row>
    <row r="450" spans="1:12" ht="15.6" x14ac:dyDescent="0.3">
      <c r="A450" s="15">
        <v>1450</v>
      </c>
      <c r="B450" s="14">
        <v>45317</v>
      </c>
      <c r="C450" s="18" t="s">
        <v>11</v>
      </c>
      <c r="D450" s="18" t="s">
        <v>32</v>
      </c>
      <c r="E450" s="18" t="s">
        <v>30</v>
      </c>
      <c r="F450" s="18" t="s">
        <v>23</v>
      </c>
      <c r="G450" s="15">
        <v>29</v>
      </c>
      <c r="H450" s="20">
        <v>50</v>
      </c>
      <c r="I450" s="21">
        <v>1450</v>
      </c>
      <c r="J450" s="21">
        <v>36</v>
      </c>
      <c r="K450" s="21">
        <v>406</v>
      </c>
      <c r="L450" s="30">
        <f>MT1_[[#This Row],[Profit]]/MT1_[[#This Row],[Total Sales]]</f>
        <v>0.28000000000000003</v>
      </c>
    </row>
    <row r="451" spans="1:12" ht="15.6" x14ac:dyDescent="0.3">
      <c r="A451" s="15">
        <v>1451</v>
      </c>
      <c r="B451" s="14">
        <v>45295</v>
      </c>
      <c r="C451" s="18" t="s">
        <v>11</v>
      </c>
      <c r="D451" s="18" t="s">
        <v>16</v>
      </c>
      <c r="E451" s="18" t="s">
        <v>30</v>
      </c>
      <c r="F451" s="18" t="s">
        <v>29</v>
      </c>
      <c r="G451" s="15">
        <v>13</v>
      </c>
      <c r="H451" s="20">
        <v>1200</v>
      </c>
      <c r="I451" s="21">
        <v>15600</v>
      </c>
      <c r="J451" s="21">
        <v>960</v>
      </c>
      <c r="K451" s="21">
        <v>3120</v>
      </c>
      <c r="L451" s="30">
        <f>MT1_[[#This Row],[Profit]]/MT1_[[#This Row],[Total Sales]]</f>
        <v>0.2</v>
      </c>
    </row>
    <row r="452" spans="1:12" ht="15.6" x14ac:dyDescent="0.3">
      <c r="A452" s="15">
        <v>1452</v>
      </c>
      <c r="B452" s="14">
        <v>45358</v>
      </c>
      <c r="C452" s="18" t="s">
        <v>21</v>
      </c>
      <c r="D452" s="18" t="s">
        <v>33</v>
      </c>
      <c r="E452" s="18" t="s">
        <v>25</v>
      </c>
      <c r="F452" s="18" t="s">
        <v>36</v>
      </c>
      <c r="G452" s="15">
        <v>63</v>
      </c>
      <c r="H452" s="20">
        <v>15000</v>
      </c>
      <c r="I452" s="21">
        <v>945000</v>
      </c>
      <c r="J452" s="21">
        <v>12000</v>
      </c>
      <c r="K452" s="21">
        <v>189000</v>
      </c>
      <c r="L452" s="30">
        <f>MT1_[[#This Row],[Profit]]/MT1_[[#This Row],[Total Sales]]</f>
        <v>0.2</v>
      </c>
    </row>
    <row r="453" spans="1:12" ht="15.6" x14ac:dyDescent="0.3">
      <c r="A453" s="15">
        <v>1453</v>
      </c>
      <c r="B453" s="14">
        <v>45377</v>
      </c>
      <c r="C453" s="18" t="s">
        <v>11</v>
      </c>
      <c r="D453" s="18" t="s">
        <v>16</v>
      </c>
      <c r="E453" s="18" t="s">
        <v>13</v>
      </c>
      <c r="F453" s="18" t="s">
        <v>29</v>
      </c>
      <c r="G453" s="15">
        <v>93</v>
      </c>
      <c r="H453" s="20">
        <v>900</v>
      </c>
      <c r="I453" s="21">
        <v>83700</v>
      </c>
      <c r="J453" s="21">
        <v>738</v>
      </c>
      <c r="K453" s="21">
        <v>15066</v>
      </c>
      <c r="L453" s="30">
        <f>MT1_[[#This Row],[Profit]]/MT1_[[#This Row],[Total Sales]]</f>
        <v>0.18</v>
      </c>
    </row>
    <row r="454" spans="1:12" ht="15.6" x14ac:dyDescent="0.3">
      <c r="A454" s="15">
        <v>1454</v>
      </c>
      <c r="B454" s="14">
        <v>45382</v>
      </c>
      <c r="C454" s="18" t="s">
        <v>20</v>
      </c>
      <c r="D454" s="18" t="s">
        <v>12</v>
      </c>
      <c r="E454" s="18" t="s">
        <v>25</v>
      </c>
      <c r="F454" s="18" t="s">
        <v>36</v>
      </c>
      <c r="G454" s="15">
        <v>40</v>
      </c>
      <c r="H454" s="20">
        <v>250</v>
      </c>
      <c r="I454" s="21">
        <v>10000</v>
      </c>
      <c r="J454" s="21">
        <v>180</v>
      </c>
      <c r="K454" s="21">
        <v>2800</v>
      </c>
      <c r="L454" s="30">
        <f>MT1_[[#This Row],[Profit]]/MT1_[[#This Row],[Total Sales]]</f>
        <v>0.28000000000000003</v>
      </c>
    </row>
    <row r="455" spans="1:12" ht="15.6" x14ac:dyDescent="0.3">
      <c r="A455" s="15">
        <v>1455</v>
      </c>
      <c r="B455" s="14">
        <v>45353</v>
      </c>
      <c r="C455" s="18" t="s">
        <v>21</v>
      </c>
      <c r="D455" s="18" t="s">
        <v>16</v>
      </c>
      <c r="E455" s="18" t="s">
        <v>30</v>
      </c>
      <c r="F455" s="18" t="s">
        <v>14</v>
      </c>
      <c r="G455" s="15">
        <v>12</v>
      </c>
      <c r="H455" s="20">
        <v>300</v>
      </c>
      <c r="I455" s="21">
        <v>3600</v>
      </c>
      <c r="J455" s="21">
        <v>234</v>
      </c>
      <c r="K455" s="21">
        <v>792</v>
      </c>
      <c r="L455" s="30">
        <f>MT1_[[#This Row],[Profit]]/MT1_[[#This Row],[Total Sales]]</f>
        <v>0.22</v>
      </c>
    </row>
    <row r="456" spans="1:12" ht="15.6" x14ac:dyDescent="0.3">
      <c r="A456" s="15">
        <v>1456</v>
      </c>
      <c r="B456" s="14">
        <v>45293</v>
      </c>
      <c r="C456" s="18" t="s">
        <v>11</v>
      </c>
      <c r="D456" s="18" t="s">
        <v>33</v>
      </c>
      <c r="E456" s="18" t="s">
        <v>17</v>
      </c>
      <c r="F456" s="18" t="s">
        <v>31</v>
      </c>
      <c r="G456" s="15">
        <v>97</v>
      </c>
      <c r="H456" s="20">
        <v>1200</v>
      </c>
      <c r="I456" s="21">
        <v>116400</v>
      </c>
      <c r="J456" s="21">
        <v>936</v>
      </c>
      <c r="K456" s="21">
        <v>25608</v>
      </c>
      <c r="L456" s="30">
        <f>MT1_[[#This Row],[Profit]]/MT1_[[#This Row],[Total Sales]]</f>
        <v>0.22</v>
      </c>
    </row>
    <row r="457" spans="1:12" ht="15.6" x14ac:dyDescent="0.3">
      <c r="A457" s="15">
        <v>1457</v>
      </c>
      <c r="B457" s="14">
        <v>45353</v>
      </c>
      <c r="C457" s="18" t="s">
        <v>19</v>
      </c>
      <c r="D457" s="18" t="s">
        <v>32</v>
      </c>
      <c r="E457" s="18" t="s">
        <v>28</v>
      </c>
      <c r="F457" s="18" t="s">
        <v>18</v>
      </c>
      <c r="G457" s="15">
        <v>64</v>
      </c>
      <c r="H457" s="20">
        <v>300</v>
      </c>
      <c r="I457" s="21">
        <v>19200</v>
      </c>
      <c r="J457" s="21">
        <v>264</v>
      </c>
      <c r="K457" s="21">
        <v>2304</v>
      </c>
      <c r="L457" s="30">
        <f>MT1_[[#This Row],[Profit]]/MT1_[[#This Row],[Total Sales]]</f>
        <v>0.12</v>
      </c>
    </row>
    <row r="458" spans="1:12" ht="15.6" x14ac:dyDescent="0.3">
      <c r="A458" s="15">
        <v>1458</v>
      </c>
      <c r="B458" s="14">
        <v>45299</v>
      </c>
      <c r="C458" s="18" t="s">
        <v>15</v>
      </c>
      <c r="D458" s="18" t="s">
        <v>32</v>
      </c>
      <c r="E458" s="18" t="s">
        <v>13</v>
      </c>
      <c r="F458" s="18" t="s">
        <v>35</v>
      </c>
      <c r="G458" s="15">
        <v>52</v>
      </c>
      <c r="H458" s="20">
        <v>15000</v>
      </c>
      <c r="I458" s="21">
        <v>780000</v>
      </c>
      <c r="J458" s="21">
        <v>12450</v>
      </c>
      <c r="K458" s="21">
        <v>132600</v>
      </c>
      <c r="L458" s="30">
        <f>MT1_[[#This Row],[Profit]]/MT1_[[#This Row],[Total Sales]]</f>
        <v>0.17</v>
      </c>
    </row>
    <row r="459" spans="1:12" ht="15.6" x14ac:dyDescent="0.3">
      <c r="A459" s="15">
        <v>1459</v>
      </c>
      <c r="B459" s="14">
        <v>45380</v>
      </c>
      <c r="C459" s="18" t="s">
        <v>15</v>
      </c>
      <c r="D459" s="18" t="s">
        <v>33</v>
      </c>
      <c r="E459" s="18" t="s">
        <v>17</v>
      </c>
      <c r="F459" s="18" t="s">
        <v>26</v>
      </c>
      <c r="G459" s="15">
        <v>40</v>
      </c>
      <c r="H459" s="20">
        <v>30000</v>
      </c>
      <c r="I459" s="21">
        <v>1200000</v>
      </c>
      <c r="J459" s="21">
        <v>26100</v>
      </c>
      <c r="K459" s="21">
        <v>156000</v>
      </c>
      <c r="L459" s="30">
        <f>MT1_[[#This Row],[Profit]]/MT1_[[#This Row],[Total Sales]]</f>
        <v>0.13</v>
      </c>
    </row>
    <row r="460" spans="1:12" ht="15.6" x14ac:dyDescent="0.3">
      <c r="A460" s="15">
        <v>1460</v>
      </c>
      <c r="B460" s="14">
        <v>45297</v>
      </c>
      <c r="C460" s="18" t="s">
        <v>19</v>
      </c>
      <c r="D460" s="18" t="s">
        <v>12</v>
      </c>
      <c r="E460" s="18" t="s">
        <v>30</v>
      </c>
      <c r="F460" s="18" t="s">
        <v>29</v>
      </c>
      <c r="G460" s="15">
        <v>92</v>
      </c>
      <c r="H460" s="20">
        <v>900</v>
      </c>
      <c r="I460" s="21">
        <v>82800</v>
      </c>
      <c r="J460" s="21">
        <v>774</v>
      </c>
      <c r="K460" s="21">
        <v>11592</v>
      </c>
      <c r="L460" s="30">
        <f>MT1_[[#This Row],[Profit]]/MT1_[[#This Row],[Total Sales]]</f>
        <v>0.14000000000000001</v>
      </c>
    </row>
    <row r="461" spans="1:12" ht="15.6" x14ac:dyDescent="0.3">
      <c r="A461" s="15">
        <v>1461</v>
      </c>
      <c r="B461" s="14">
        <v>45313</v>
      </c>
      <c r="C461" s="18" t="s">
        <v>19</v>
      </c>
      <c r="D461" s="18" t="s">
        <v>34</v>
      </c>
      <c r="E461" s="18" t="s">
        <v>28</v>
      </c>
      <c r="F461" s="18" t="s">
        <v>36</v>
      </c>
      <c r="G461" s="15">
        <v>48</v>
      </c>
      <c r="H461" s="20">
        <v>300</v>
      </c>
      <c r="I461" s="21">
        <v>14400</v>
      </c>
      <c r="J461" s="21">
        <v>249</v>
      </c>
      <c r="K461" s="21">
        <v>2448</v>
      </c>
      <c r="L461" s="30">
        <f>MT1_[[#This Row],[Profit]]/MT1_[[#This Row],[Total Sales]]</f>
        <v>0.17</v>
      </c>
    </row>
    <row r="462" spans="1:12" ht="15.6" x14ac:dyDescent="0.3">
      <c r="A462" s="15">
        <v>1462</v>
      </c>
      <c r="B462" s="14">
        <v>45309</v>
      </c>
      <c r="C462" s="18" t="s">
        <v>11</v>
      </c>
      <c r="D462" s="18" t="s">
        <v>33</v>
      </c>
      <c r="E462" s="18" t="s">
        <v>17</v>
      </c>
      <c r="F462" s="18" t="s">
        <v>18</v>
      </c>
      <c r="G462" s="15">
        <v>63</v>
      </c>
      <c r="H462" s="20">
        <v>150</v>
      </c>
      <c r="I462" s="21">
        <v>9450</v>
      </c>
      <c r="J462" s="21">
        <v>129</v>
      </c>
      <c r="K462" s="21">
        <v>1323</v>
      </c>
      <c r="L462" s="30">
        <f>MT1_[[#This Row],[Profit]]/MT1_[[#This Row],[Total Sales]]</f>
        <v>0.14000000000000001</v>
      </c>
    </row>
    <row r="463" spans="1:12" ht="15.6" x14ac:dyDescent="0.3">
      <c r="A463" s="15">
        <v>1463</v>
      </c>
      <c r="B463" s="14">
        <v>45328</v>
      </c>
      <c r="C463" s="18" t="s">
        <v>20</v>
      </c>
      <c r="D463" s="18" t="s">
        <v>32</v>
      </c>
      <c r="E463" s="18" t="s">
        <v>25</v>
      </c>
      <c r="F463" s="18" t="s">
        <v>14</v>
      </c>
      <c r="G463" s="15">
        <v>6</v>
      </c>
      <c r="H463" s="20">
        <v>150</v>
      </c>
      <c r="I463" s="21">
        <v>900</v>
      </c>
      <c r="J463" s="21">
        <v>133.5</v>
      </c>
      <c r="K463" s="21">
        <v>99</v>
      </c>
      <c r="L463" s="30">
        <f>MT1_[[#This Row],[Profit]]/MT1_[[#This Row],[Total Sales]]</f>
        <v>0.11</v>
      </c>
    </row>
    <row r="464" spans="1:12" ht="15.6" x14ac:dyDescent="0.3">
      <c r="A464" s="15">
        <v>1464</v>
      </c>
      <c r="B464" s="14">
        <v>45362</v>
      </c>
      <c r="C464" s="18" t="s">
        <v>15</v>
      </c>
      <c r="D464" s="18" t="s">
        <v>32</v>
      </c>
      <c r="E464" s="18" t="s">
        <v>13</v>
      </c>
      <c r="F464" s="18" t="s">
        <v>36</v>
      </c>
      <c r="G464" s="15">
        <v>3</v>
      </c>
      <c r="H464" s="20">
        <v>500</v>
      </c>
      <c r="I464" s="21">
        <v>1500</v>
      </c>
      <c r="J464" s="21">
        <v>405</v>
      </c>
      <c r="K464" s="21">
        <v>285</v>
      </c>
      <c r="L464" s="30">
        <f>MT1_[[#This Row],[Profit]]/MT1_[[#This Row],[Total Sales]]</f>
        <v>0.19</v>
      </c>
    </row>
    <row r="465" spans="1:12" ht="15.6" x14ac:dyDescent="0.3">
      <c r="A465" s="15">
        <v>1465</v>
      </c>
      <c r="B465" s="14">
        <v>45308</v>
      </c>
      <c r="C465" s="18" t="s">
        <v>15</v>
      </c>
      <c r="D465" s="18" t="s">
        <v>16</v>
      </c>
      <c r="E465" s="18" t="s">
        <v>30</v>
      </c>
      <c r="F465" s="18" t="s">
        <v>24</v>
      </c>
      <c r="G465" s="15">
        <v>7</v>
      </c>
      <c r="H465" s="20">
        <v>30000</v>
      </c>
      <c r="I465" s="21">
        <v>210000</v>
      </c>
      <c r="J465" s="21">
        <v>26700</v>
      </c>
      <c r="K465" s="21">
        <v>23100</v>
      </c>
      <c r="L465" s="30">
        <f>MT1_[[#This Row],[Profit]]/MT1_[[#This Row],[Total Sales]]</f>
        <v>0.11</v>
      </c>
    </row>
    <row r="466" spans="1:12" ht="15.6" x14ac:dyDescent="0.3">
      <c r="A466" s="15">
        <v>1466</v>
      </c>
      <c r="B466" s="14">
        <v>45351</v>
      </c>
      <c r="C466" s="18" t="s">
        <v>11</v>
      </c>
      <c r="D466" s="18" t="s">
        <v>16</v>
      </c>
      <c r="E466" s="18" t="s">
        <v>17</v>
      </c>
      <c r="F466" s="18" t="s">
        <v>24</v>
      </c>
      <c r="G466" s="15">
        <v>100</v>
      </c>
      <c r="H466" s="20">
        <v>700</v>
      </c>
      <c r="I466" s="21">
        <v>70000</v>
      </c>
      <c r="J466" s="21">
        <v>616</v>
      </c>
      <c r="K466" s="21">
        <v>8400</v>
      </c>
      <c r="L466" s="30">
        <f>MT1_[[#This Row],[Profit]]/MT1_[[#This Row],[Total Sales]]</f>
        <v>0.12</v>
      </c>
    </row>
    <row r="467" spans="1:12" ht="15.6" x14ac:dyDescent="0.3">
      <c r="A467" s="15">
        <v>1467</v>
      </c>
      <c r="B467" s="14">
        <v>45370</v>
      </c>
      <c r="C467" s="18" t="s">
        <v>21</v>
      </c>
      <c r="D467" s="18" t="s">
        <v>32</v>
      </c>
      <c r="E467" s="18" t="s">
        <v>17</v>
      </c>
      <c r="F467" s="18" t="s">
        <v>35</v>
      </c>
      <c r="G467" s="15">
        <v>85</v>
      </c>
      <c r="H467" s="20">
        <v>700</v>
      </c>
      <c r="I467" s="21">
        <v>59500</v>
      </c>
      <c r="J467" s="21">
        <v>532</v>
      </c>
      <c r="K467" s="21">
        <v>14280</v>
      </c>
      <c r="L467" s="30">
        <f>MT1_[[#This Row],[Profit]]/MT1_[[#This Row],[Total Sales]]</f>
        <v>0.24</v>
      </c>
    </row>
    <row r="468" spans="1:12" ht="15.6" x14ac:dyDescent="0.3">
      <c r="A468" s="15">
        <v>1468</v>
      </c>
      <c r="B468" s="14">
        <v>45301</v>
      </c>
      <c r="C468" s="18" t="s">
        <v>11</v>
      </c>
      <c r="D468" s="18" t="s">
        <v>32</v>
      </c>
      <c r="E468" s="18" t="s">
        <v>25</v>
      </c>
      <c r="F468" s="18" t="s">
        <v>31</v>
      </c>
      <c r="G468" s="15">
        <v>29</v>
      </c>
      <c r="H468" s="20">
        <v>700</v>
      </c>
      <c r="I468" s="21">
        <v>20300</v>
      </c>
      <c r="J468" s="21">
        <v>525</v>
      </c>
      <c r="K468" s="21">
        <v>5075</v>
      </c>
      <c r="L468" s="30">
        <f>MT1_[[#This Row],[Profit]]/MT1_[[#This Row],[Total Sales]]</f>
        <v>0.25</v>
      </c>
    </row>
    <row r="469" spans="1:12" ht="15.6" x14ac:dyDescent="0.3">
      <c r="A469" s="15">
        <v>1469</v>
      </c>
      <c r="B469" s="14">
        <v>45314</v>
      </c>
      <c r="C469" s="18" t="s">
        <v>11</v>
      </c>
      <c r="D469" s="18" t="s">
        <v>34</v>
      </c>
      <c r="E469" s="18" t="s">
        <v>17</v>
      </c>
      <c r="F469" s="18" t="s">
        <v>23</v>
      </c>
      <c r="G469" s="15">
        <v>20</v>
      </c>
      <c r="H469" s="20">
        <v>30000</v>
      </c>
      <c r="I469" s="21">
        <v>600000</v>
      </c>
      <c r="J469" s="21">
        <v>25200</v>
      </c>
      <c r="K469" s="21">
        <v>96000</v>
      </c>
      <c r="L469" s="30">
        <f>MT1_[[#This Row],[Profit]]/MT1_[[#This Row],[Total Sales]]</f>
        <v>0.16</v>
      </c>
    </row>
    <row r="470" spans="1:12" ht="15.6" x14ac:dyDescent="0.3">
      <c r="A470" s="15">
        <v>1470</v>
      </c>
      <c r="B470" s="14">
        <v>45365</v>
      </c>
      <c r="C470" s="18" t="s">
        <v>15</v>
      </c>
      <c r="D470" s="18" t="s">
        <v>32</v>
      </c>
      <c r="E470" s="18" t="s">
        <v>28</v>
      </c>
      <c r="F470" s="18" t="s">
        <v>29</v>
      </c>
      <c r="G470" s="15">
        <v>79</v>
      </c>
      <c r="H470" s="20">
        <v>500</v>
      </c>
      <c r="I470" s="21">
        <v>39500</v>
      </c>
      <c r="J470" s="21">
        <v>365</v>
      </c>
      <c r="K470" s="21">
        <v>10665</v>
      </c>
      <c r="L470" s="30">
        <f>MT1_[[#This Row],[Profit]]/MT1_[[#This Row],[Total Sales]]</f>
        <v>0.27</v>
      </c>
    </row>
    <row r="471" spans="1:12" ht="15.6" x14ac:dyDescent="0.3">
      <c r="A471" s="15">
        <v>1471</v>
      </c>
      <c r="B471" s="14">
        <v>45320</v>
      </c>
      <c r="C471" s="18" t="s">
        <v>19</v>
      </c>
      <c r="D471" s="18" t="s">
        <v>34</v>
      </c>
      <c r="E471" s="18" t="s">
        <v>17</v>
      </c>
      <c r="F471" s="18" t="s">
        <v>18</v>
      </c>
      <c r="G471" s="15">
        <v>100</v>
      </c>
      <c r="H471" s="20">
        <v>250</v>
      </c>
      <c r="I471" s="21">
        <v>25000</v>
      </c>
      <c r="J471" s="21">
        <v>192.5</v>
      </c>
      <c r="K471" s="21">
        <v>5750</v>
      </c>
      <c r="L471" s="30">
        <f>MT1_[[#This Row],[Profit]]/MT1_[[#This Row],[Total Sales]]</f>
        <v>0.23</v>
      </c>
    </row>
    <row r="472" spans="1:12" ht="15.6" x14ac:dyDescent="0.3">
      <c r="A472" s="15">
        <v>1472</v>
      </c>
      <c r="B472" s="14">
        <v>45311</v>
      </c>
      <c r="C472" s="18" t="s">
        <v>11</v>
      </c>
      <c r="D472" s="18" t="s">
        <v>33</v>
      </c>
      <c r="E472" s="18" t="s">
        <v>25</v>
      </c>
      <c r="F472" s="18" t="s">
        <v>29</v>
      </c>
      <c r="G472" s="15">
        <v>42</v>
      </c>
      <c r="H472" s="20">
        <v>1200</v>
      </c>
      <c r="I472" s="21">
        <v>50400</v>
      </c>
      <c r="J472" s="21">
        <v>900</v>
      </c>
      <c r="K472" s="21">
        <v>12600</v>
      </c>
      <c r="L472" s="30">
        <f>MT1_[[#This Row],[Profit]]/MT1_[[#This Row],[Total Sales]]</f>
        <v>0.25</v>
      </c>
    </row>
    <row r="473" spans="1:12" ht="15.6" x14ac:dyDescent="0.3">
      <c r="A473" s="15">
        <v>1473</v>
      </c>
      <c r="B473" s="14">
        <v>45297</v>
      </c>
      <c r="C473" s="18" t="s">
        <v>15</v>
      </c>
      <c r="D473" s="18" t="s">
        <v>34</v>
      </c>
      <c r="E473" s="18" t="s">
        <v>28</v>
      </c>
      <c r="F473" s="18" t="s">
        <v>18</v>
      </c>
      <c r="G473" s="15">
        <v>75</v>
      </c>
      <c r="H473" s="20">
        <v>300</v>
      </c>
      <c r="I473" s="21">
        <v>22500</v>
      </c>
      <c r="J473" s="21">
        <v>234</v>
      </c>
      <c r="K473" s="21">
        <v>4950</v>
      </c>
      <c r="L473" s="30">
        <f>MT1_[[#This Row],[Profit]]/MT1_[[#This Row],[Total Sales]]</f>
        <v>0.22</v>
      </c>
    </row>
    <row r="474" spans="1:12" ht="15.6" x14ac:dyDescent="0.3">
      <c r="A474" s="15">
        <v>1474</v>
      </c>
      <c r="B474" s="14">
        <v>45327</v>
      </c>
      <c r="C474" s="18" t="s">
        <v>15</v>
      </c>
      <c r="D474" s="18" t="s">
        <v>34</v>
      </c>
      <c r="E474" s="18" t="s">
        <v>30</v>
      </c>
      <c r="F474" s="18" t="s">
        <v>27</v>
      </c>
      <c r="G474" s="15">
        <v>81</v>
      </c>
      <c r="H474" s="20">
        <v>1200</v>
      </c>
      <c r="I474" s="21">
        <v>97200</v>
      </c>
      <c r="J474" s="21">
        <v>1068</v>
      </c>
      <c r="K474" s="21">
        <v>10692</v>
      </c>
      <c r="L474" s="30">
        <f>MT1_[[#This Row],[Profit]]/MT1_[[#This Row],[Total Sales]]</f>
        <v>0.11</v>
      </c>
    </row>
    <row r="475" spans="1:12" ht="15.6" x14ac:dyDescent="0.3">
      <c r="A475" s="15">
        <v>1475</v>
      </c>
      <c r="B475" s="14">
        <v>45299</v>
      </c>
      <c r="C475" s="18" t="s">
        <v>19</v>
      </c>
      <c r="D475" s="18" t="s">
        <v>16</v>
      </c>
      <c r="E475" s="18" t="s">
        <v>17</v>
      </c>
      <c r="F475" s="18" t="s">
        <v>26</v>
      </c>
      <c r="G475" s="15">
        <v>83</v>
      </c>
      <c r="H475" s="20">
        <v>150</v>
      </c>
      <c r="I475" s="21">
        <v>12450</v>
      </c>
      <c r="J475" s="21">
        <v>129</v>
      </c>
      <c r="K475" s="21">
        <v>1743</v>
      </c>
      <c r="L475" s="30">
        <f>MT1_[[#This Row],[Profit]]/MT1_[[#This Row],[Total Sales]]</f>
        <v>0.14000000000000001</v>
      </c>
    </row>
    <row r="476" spans="1:12" ht="15.6" x14ac:dyDescent="0.3">
      <c r="A476" s="15">
        <v>1476</v>
      </c>
      <c r="B476" s="14">
        <v>45295</v>
      </c>
      <c r="C476" s="18" t="s">
        <v>11</v>
      </c>
      <c r="D476" s="18" t="s">
        <v>12</v>
      </c>
      <c r="E476" s="18" t="s">
        <v>17</v>
      </c>
      <c r="F476" s="18" t="s">
        <v>14</v>
      </c>
      <c r="G476" s="15">
        <v>50</v>
      </c>
      <c r="H476" s="20">
        <v>700</v>
      </c>
      <c r="I476" s="21">
        <v>35000</v>
      </c>
      <c r="J476" s="21">
        <v>581</v>
      </c>
      <c r="K476" s="21">
        <v>5950</v>
      </c>
      <c r="L476" s="30">
        <f>MT1_[[#This Row],[Profit]]/MT1_[[#This Row],[Total Sales]]</f>
        <v>0.17</v>
      </c>
    </row>
    <row r="477" spans="1:12" ht="15.6" x14ac:dyDescent="0.3">
      <c r="A477" s="15">
        <v>1477</v>
      </c>
      <c r="B477" s="14">
        <v>45349</v>
      </c>
      <c r="C477" s="18" t="s">
        <v>20</v>
      </c>
      <c r="D477" s="18" t="s">
        <v>32</v>
      </c>
      <c r="E477" s="18" t="s">
        <v>28</v>
      </c>
      <c r="F477" s="18" t="s">
        <v>14</v>
      </c>
      <c r="G477" s="15">
        <v>73</v>
      </c>
      <c r="H477" s="20">
        <v>1200</v>
      </c>
      <c r="I477" s="21">
        <v>87600</v>
      </c>
      <c r="J477" s="21">
        <v>924</v>
      </c>
      <c r="K477" s="21">
        <v>20148</v>
      </c>
      <c r="L477" s="30">
        <f>MT1_[[#This Row],[Profit]]/MT1_[[#This Row],[Total Sales]]</f>
        <v>0.23</v>
      </c>
    </row>
    <row r="478" spans="1:12" ht="15.6" x14ac:dyDescent="0.3">
      <c r="A478" s="15">
        <v>1478</v>
      </c>
      <c r="B478" s="14">
        <v>45327</v>
      </c>
      <c r="C478" s="18" t="s">
        <v>19</v>
      </c>
      <c r="D478" s="18" t="s">
        <v>34</v>
      </c>
      <c r="E478" s="18" t="s">
        <v>28</v>
      </c>
      <c r="F478" s="18" t="s">
        <v>26</v>
      </c>
      <c r="G478" s="15">
        <v>54</v>
      </c>
      <c r="H478" s="20">
        <v>30000</v>
      </c>
      <c r="I478" s="21">
        <v>1620000</v>
      </c>
      <c r="J478" s="21">
        <v>23100</v>
      </c>
      <c r="K478" s="21">
        <v>372600</v>
      </c>
      <c r="L478" s="30">
        <f>MT1_[[#This Row],[Profit]]/MT1_[[#This Row],[Total Sales]]</f>
        <v>0.23</v>
      </c>
    </row>
    <row r="479" spans="1:12" ht="15.6" x14ac:dyDescent="0.3">
      <c r="A479" s="15">
        <v>1479</v>
      </c>
      <c r="B479" s="14">
        <v>45354</v>
      </c>
      <c r="C479" s="18" t="s">
        <v>15</v>
      </c>
      <c r="D479" s="18" t="s">
        <v>34</v>
      </c>
      <c r="E479" s="18" t="s">
        <v>17</v>
      </c>
      <c r="F479" s="18" t="s">
        <v>26</v>
      </c>
      <c r="G479" s="15">
        <v>44</v>
      </c>
      <c r="H479" s="20">
        <v>30000</v>
      </c>
      <c r="I479" s="21">
        <v>1320000</v>
      </c>
      <c r="J479" s="21">
        <v>23700</v>
      </c>
      <c r="K479" s="21">
        <v>277200</v>
      </c>
      <c r="L479" s="30">
        <f>MT1_[[#This Row],[Profit]]/MT1_[[#This Row],[Total Sales]]</f>
        <v>0.21</v>
      </c>
    </row>
    <row r="480" spans="1:12" ht="15.6" x14ac:dyDescent="0.3">
      <c r="A480" s="15">
        <v>1479</v>
      </c>
      <c r="B480" s="14">
        <v>45328</v>
      </c>
      <c r="C480" s="18" t="s">
        <v>11</v>
      </c>
      <c r="D480" s="18" t="s">
        <v>32</v>
      </c>
      <c r="E480" s="18" t="s">
        <v>30</v>
      </c>
      <c r="F480" s="18" t="s">
        <v>14</v>
      </c>
      <c r="G480" s="15">
        <v>15</v>
      </c>
      <c r="H480" s="20">
        <v>150</v>
      </c>
      <c r="I480" s="21">
        <v>2250</v>
      </c>
      <c r="J480" s="21">
        <v>115.5</v>
      </c>
      <c r="K480" s="21">
        <v>517.5</v>
      </c>
      <c r="L480" s="30">
        <f>MT1_[[#This Row],[Profit]]/MT1_[[#This Row],[Total Sales]]</f>
        <v>0.23</v>
      </c>
    </row>
    <row r="481" spans="1:12" ht="15.6" x14ac:dyDescent="0.3">
      <c r="A481" s="15">
        <v>1481</v>
      </c>
      <c r="B481" s="14">
        <v>45344</v>
      </c>
      <c r="C481" s="18" t="s">
        <v>11</v>
      </c>
      <c r="D481" s="18" t="s">
        <v>34</v>
      </c>
      <c r="E481" s="18" t="s">
        <v>17</v>
      </c>
      <c r="F481" s="18" t="s">
        <v>35</v>
      </c>
      <c r="G481" s="15">
        <v>88</v>
      </c>
      <c r="H481" s="20">
        <v>30000</v>
      </c>
      <c r="I481" s="21">
        <v>2640000</v>
      </c>
      <c r="J481" s="21">
        <v>26400</v>
      </c>
      <c r="K481" s="21">
        <v>316800</v>
      </c>
      <c r="L481" s="30">
        <f>MT1_[[#This Row],[Profit]]/MT1_[[#This Row],[Total Sales]]</f>
        <v>0.12</v>
      </c>
    </row>
    <row r="482" spans="1:12" ht="15.6" x14ac:dyDescent="0.3">
      <c r="A482" s="15">
        <v>1482</v>
      </c>
      <c r="B482" s="14">
        <v>45343</v>
      </c>
      <c r="C482" s="18" t="s">
        <v>21</v>
      </c>
      <c r="D482" s="18" t="s">
        <v>12</v>
      </c>
      <c r="E482" s="18" t="s">
        <v>25</v>
      </c>
      <c r="F482" s="18" t="s">
        <v>14</v>
      </c>
      <c r="G482" s="15">
        <v>11</v>
      </c>
      <c r="H482" s="20">
        <v>900</v>
      </c>
      <c r="I482" s="21">
        <v>9900</v>
      </c>
      <c r="J482" s="21">
        <v>738</v>
      </c>
      <c r="K482" s="21">
        <v>1782</v>
      </c>
      <c r="L482" s="30">
        <f>MT1_[[#This Row],[Profit]]/MT1_[[#This Row],[Total Sales]]</f>
        <v>0.18</v>
      </c>
    </row>
    <row r="483" spans="1:12" ht="15.6" x14ac:dyDescent="0.3">
      <c r="A483" s="15">
        <v>1483</v>
      </c>
      <c r="B483" s="14">
        <v>45330</v>
      </c>
      <c r="C483" s="18" t="s">
        <v>15</v>
      </c>
      <c r="D483" s="18" t="s">
        <v>34</v>
      </c>
      <c r="E483" s="18" t="s">
        <v>25</v>
      </c>
      <c r="F483" s="18" t="s">
        <v>31</v>
      </c>
      <c r="G483" s="15">
        <v>50</v>
      </c>
      <c r="H483" s="20">
        <v>1200</v>
      </c>
      <c r="I483" s="21">
        <v>60000</v>
      </c>
      <c r="J483" s="21">
        <v>840</v>
      </c>
      <c r="K483" s="21">
        <v>18000</v>
      </c>
      <c r="L483" s="30">
        <f>MT1_[[#This Row],[Profit]]/MT1_[[#This Row],[Total Sales]]</f>
        <v>0.3</v>
      </c>
    </row>
    <row r="484" spans="1:12" ht="15.6" x14ac:dyDescent="0.3">
      <c r="A484" s="15">
        <v>1484</v>
      </c>
      <c r="B484" s="14">
        <v>45330</v>
      </c>
      <c r="C484" s="18" t="s">
        <v>19</v>
      </c>
      <c r="D484" s="18" t="s">
        <v>32</v>
      </c>
      <c r="E484" s="18" t="s">
        <v>25</v>
      </c>
      <c r="F484" s="18" t="s">
        <v>29</v>
      </c>
      <c r="G484" s="15">
        <v>82</v>
      </c>
      <c r="H484" s="20">
        <v>300</v>
      </c>
      <c r="I484" s="21">
        <v>24600</v>
      </c>
      <c r="J484" s="21">
        <v>267</v>
      </c>
      <c r="K484" s="21">
        <v>2706</v>
      </c>
      <c r="L484" s="30">
        <f>MT1_[[#This Row],[Profit]]/MT1_[[#This Row],[Total Sales]]</f>
        <v>0.11</v>
      </c>
    </row>
    <row r="485" spans="1:12" ht="15.6" x14ac:dyDescent="0.3">
      <c r="A485" s="15">
        <v>1485</v>
      </c>
      <c r="B485" s="14">
        <v>45350</v>
      </c>
      <c r="C485" s="18" t="s">
        <v>20</v>
      </c>
      <c r="D485" s="18" t="s">
        <v>12</v>
      </c>
      <c r="E485" s="18" t="s">
        <v>30</v>
      </c>
      <c r="F485" s="18" t="s">
        <v>36</v>
      </c>
      <c r="G485" s="15">
        <v>76</v>
      </c>
      <c r="H485" s="20">
        <v>150</v>
      </c>
      <c r="I485" s="21">
        <v>11400</v>
      </c>
      <c r="J485" s="21">
        <v>109.5</v>
      </c>
      <c r="K485" s="21">
        <v>3078</v>
      </c>
      <c r="L485" s="30">
        <f>MT1_[[#This Row],[Profit]]/MT1_[[#This Row],[Total Sales]]</f>
        <v>0.27</v>
      </c>
    </row>
    <row r="486" spans="1:12" ht="15.6" x14ac:dyDescent="0.3">
      <c r="A486" s="15">
        <v>1486</v>
      </c>
      <c r="B486" s="14">
        <v>45321</v>
      </c>
      <c r="C486" s="18" t="s">
        <v>15</v>
      </c>
      <c r="D486" s="18" t="s">
        <v>34</v>
      </c>
      <c r="E486" s="18" t="s">
        <v>28</v>
      </c>
      <c r="F486" s="18" t="s">
        <v>18</v>
      </c>
      <c r="G486" s="15">
        <v>74</v>
      </c>
      <c r="H486" s="20">
        <v>250</v>
      </c>
      <c r="I486" s="21">
        <v>18500</v>
      </c>
      <c r="J486" s="21">
        <v>220</v>
      </c>
      <c r="K486" s="21">
        <v>2220</v>
      </c>
      <c r="L486" s="30">
        <f>MT1_[[#This Row],[Profit]]/MT1_[[#This Row],[Total Sales]]</f>
        <v>0.12</v>
      </c>
    </row>
    <row r="487" spans="1:12" ht="15.6" x14ac:dyDescent="0.3">
      <c r="A487" s="15">
        <v>1487</v>
      </c>
      <c r="B487" s="14">
        <v>45357</v>
      </c>
      <c r="C487" s="18" t="s">
        <v>21</v>
      </c>
      <c r="D487" s="18" t="s">
        <v>33</v>
      </c>
      <c r="E487" s="18" t="s">
        <v>13</v>
      </c>
      <c r="F487" s="18" t="s">
        <v>36</v>
      </c>
      <c r="G487" s="15">
        <v>84</v>
      </c>
      <c r="H487" s="20">
        <v>50</v>
      </c>
      <c r="I487" s="21">
        <v>4200</v>
      </c>
      <c r="J487" s="21">
        <v>41.5</v>
      </c>
      <c r="K487" s="21">
        <v>714</v>
      </c>
      <c r="L487" s="30">
        <f>MT1_[[#This Row],[Profit]]/MT1_[[#This Row],[Total Sales]]</f>
        <v>0.17</v>
      </c>
    </row>
    <row r="488" spans="1:12" ht="15.6" x14ac:dyDescent="0.3">
      <c r="A488" s="15">
        <v>1488</v>
      </c>
      <c r="B488" s="14">
        <v>45379</v>
      </c>
      <c r="C488" s="18" t="s">
        <v>20</v>
      </c>
      <c r="D488" s="18" t="s">
        <v>33</v>
      </c>
      <c r="E488" s="18" t="s">
        <v>17</v>
      </c>
      <c r="F488" s="18" t="s">
        <v>26</v>
      </c>
      <c r="G488" s="15">
        <v>78</v>
      </c>
      <c r="H488" s="20">
        <v>1200</v>
      </c>
      <c r="I488" s="21">
        <v>93600</v>
      </c>
      <c r="J488" s="21">
        <v>1008</v>
      </c>
      <c r="K488" s="21">
        <v>14976</v>
      </c>
      <c r="L488" s="30">
        <f>MT1_[[#This Row],[Profit]]/MT1_[[#This Row],[Total Sales]]</f>
        <v>0.16</v>
      </c>
    </row>
    <row r="489" spans="1:12" ht="15.6" x14ac:dyDescent="0.3">
      <c r="A489" s="15">
        <v>1489</v>
      </c>
      <c r="B489" s="14">
        <v>45379</v>
      </c>
      <c r="C489" s="18" t="s">
        <v>20</v>
      </c>
      <c r="D489" s="18" t="s">
        <v>33</v>
      </c>
      <c r="E489" s="18" t="s">
        <v>17</v>
      </c>
      <c r="F489" s="18" t="s">
        <v>27</v>
      </c>
      <c r="G489" s="15">
        <v>54</v>
      </c>
      <c r="H489" s="20">
        <v>250</v>
      </c>
      <c r="I489" s="21">
        <v>13500</v>
      </c>
      <c r="J489" s="21">
        <v>205</v>
      </c>
      <c r="K489" s="21">
        <v>2430</v>
      </c>
      <c r="L489" s="30">
        <f>MT1_[[#This Row],[Profit]]/MT1_[[#This Row],[Total Sales]]</f>
        <v>0.18</v>
      </c>
    </row>
    <row r="490" spans="1:12" ht="15.6" x14ac:dyDescent="0.3">
      <c r="A490" s="15">
        <v>1490</v>
      </c>
      <c r="B490" s="14">
        <v>45330</v>
      </c>
      <c r="C490" s="18" t="s">
        <v>11</v>
      </c>
      <c r="D490" s="18" t="s">
        <v>16</v>
      </c>
      <c r="E490" s="18" t="s">
        <v>30</v>
      </c>
      <c r="F490" s="18" t="s">
        <v>26</v>
      </c>
      <c r="G490" s="15">
        <v>95</v>
      </c>
      <c r="H490" s="20">
        <v>50</v>
      </c>
      <c r="I490" s="21">
        <v>4750</v>
      </c>
      <c r="J490" s="21">
        <v>44</v>
      </c>
      <c r="K490" s="21">
        <v>570</v>
      </c>
      <c r="L490" s="30">
        <f>MT1_[[#This Row],[Profit]]/MT1_[[#This Row],[Total Sales]]</f>
        <v>0.12</v>
      </c>
    </row>
    <row r="491" spans="1:12" ht="15.6" x14ac:dyDescent="0.3">
      <c r="A491" s="15">
        <v>1491</v>
      </c>
      <c r="B491" s="14">
        <v>45336</v>
      </c>
      <c r="C491" s="18" t="s">
        <v>15</v>
      </c>
      <c r="D491" s="18" t="s">
        <v>32</v>
      </c>
      <c r="E491" s="18" t="s">
        <v>13</v>
      </c>
      <c r="F491" s="18" t="s">
        <v>35</v>
      </c>
      <c r="G491" s="15">
        <v>76</v>
      </c>
      <c r="H491" s="20">
        <v>150</v>
      </c>
      <c r="I491" s="21">
        <v>11400</v>
      </c>
      <c r="J491" s="21">
        <v>114</v>
      </c>
      <c r="K491" s="21">
        <v>2736</v>
      </c>
      <c r="L491" s="30">
        <f>MT1_[[#This Row],[Profit]]/MT1_[[#This Row],[Total Sales]]</f>
        <v>0.24</v>
      </c>
    </row>
    <row r="492" spans="1:12" ht="15.6" x14ac:dyDescent="0.3">
      <c r="A492" s="15">
        <v>1492</v>
      </c>
      <c r="B492" s="14">
        <v>45298</v>
      </c>
      <c r="C492" s="18" t="s">
        <v>20</v>
      </c>
      <c r="D492" s="18" t="s">
        <v>12</v>
      </c>
      <c r="E492" s="18" t="s">
        <v>30</v>
      </c>
      <c r="F492" s="18" t="s">
        <v>35</v>
      </c>
      <c r="G492" s="15">
        <v>64</v>
      </c>
      <c r="H492" s="20">
        <v>300</v>
      </c>
      <c r="I492" s="21">
        <v>19200</v>
      </c>
      <c r="J492" s="21">
        <v>258</v>
      </c>
      <c r="K492" s="21">
        <v>2688</v>
      </c>
      <c r="L492" s="30">
        <f>MT1_[[#This Row],[Profit]]/MT1_[[#This Row],[Total Sales]]</f>
        <v>0.14000000000000001</v>
      </c>
    </row>
    <row r="493" spans="1:12" ht="15.6" x14ac:dyDescent="0.3">
      <c r="A493" s="15">
        <v>1493</v>
      </c>
      <c r="B493" s="14">
        <v>45372</v>
      </c>
      <c r="C493" s="18" t="s">
        <v>15</v>
      </c>
      <c r="D493" s="18" t="s">
        <v>34</v>
      </c>
      <c r="E493" s="18" t="s">
        <v>17</v>
      </c>
      <c r="F493" s="18" t="s">
        <v>35</v>
      </c>
      <c r="G493" s="15">
        <v>48</v>
      </c>
      <c r="H493" s="20">
        <v>150</v>
      </c>
      <c r="I493" s="21">
        <v>7200</v>
      </c>
      <c r="J493" s="21">
        <v>105</v>
      </c>
      <c r="K493" s="21">
        <v>2160</v>
      </c>
      <c r="L493" s="30">
        <f>MT1_[[#This Row],[Profit]]/MT1_[[#This Row],[Total Sales]]</f>
        <v>0.3</v>
      </c>
    </row>
    <row r="494" spans="1:12" ht="15.6" x14ac:dyDescent="0.3">
      <c r="A494" s="15">
        <v>1494</v>
      </c>
      <c r="B494" s="14">
        <v>45323</v>
      </c>
      <c r="C494" s="18" t="s">
        <v>19</v>
      </c>
      <c r="D494" s="18" t="s">
        <v>16</v>
      </c>
      <c r="E494" s="18" t="s">
        <v>25</v>
      </c>
      <c r="F494" s="18" t="s">
        <v>14</v>
      </c>
      <c r="G494" s="15">
        <v>53</v>
      </c>
      <c r="H494" s="20">
        <v>250</v>
      </c>
      <c r="I494" s="21">
        <v>13250</v>
      </c>
      <c r="J494" s="21">
        <v>200</v>
      </c>
      <c r="K494" s="21">
        <v>2650</v>
      </c>
      <c r="L494" s="30">
        <f>MT1_[[#This Row],[Profit]]/MT1_[[#This Row],[Total Sales]]</f>
        <v>0.2</v>
      </c>
    </row>
    <row r="495" spans="1:12" ht="15.6" x14ac:dyDescent="0.3">
      <c r="A495" s="15">
        <v>1495</v>
      </c>
      <c r="B495" s="14">
        <v>45298</v>
      </c>
      <c r="C495" s="18" t="s">
        <v>20</v>
      </c>
      <c r="D495" s="18" t="s">
        <v>32</v>
      </c>
      <c r="E495" s="18" t="s">
        <v>28</v>
      </c>
      <c r="F495" s="18" t="s">
        <v>31</v>
      </c>
      <c r="G495" s="15">
        <v>2</v>
      </c>
      <c r="H495" s="20">
        <v>1200</v>
      </c>
      <c r="I495" s="21">
        <v>2400</v>
      </c>
      <c r="J495" s="21">
        <v>1044</v>
      </c>
      <c r="K495" s="21">
        <v>312</v>
      </c>
      <c r="L495" s="30">
        <f>MT1_[[#This Row],[Profit]]/MT1_[[#This Row],[Total Sales]]</f>
        <v>0.13</v>
      </c>
    </row>
    <row r="496" spans="1:12" ht="15.6" x14ac:dyDescent="0.3">
      <c r="A496" s="15">
        <v>1496</v>
      </c>
      <c r="B496" s="14">
        <v>45304</v>
      </c>
      <c r="C496" s="18" t="s">
        <v>11</v>
      </c>
      <c r="D496" s="18" t="s">
        <v>34</v>
      </c>
      <c r="E496" s="18" t="s">
        <v>28</v>
      </c>
      <c r="F496" s="18" t="s">
        <v>31</v>
      </c>
      <c r="G496" s="15">
        <v>11</v>
      </c>
      <c r="H496" s="20">
        <v>1200</v>
      </c>
      <c r="I496" s="21">
        <v>13200</v>
      </c>
      <c r="J496" s="21">
        <v>1056</v>
      </c>
      <c r="K496" s="21">
        <v>1584</v>
      </c>
      <c r="L496" s="30">
        <f>MT1_[[#This Row],[Profit]]/MT1_[[#This Row],[Total Sales]]</f>
        <v>0.12</v>
      </c>
    </row>
    <row r="497" spans="1:12" ht="15.6" x14ac:dyDescent="0.3">
      <c r="A497" s="15">
        <v>1497</v>
      </c>
      <c r="B497" s="14">
        <v>45353</v>
      </c>
      <c r="C497" s="18" t="s">
        <v>21</v>
      </c>
      <c r="D497" s="18" t="s">
        <v>12</v>
      </c>
      <c r="E497" s="18" t="s">
        <v>25</v>
      </c>
      <c r="F497" s="18" t="s">
        <v>26</v>
      </c>
      <c r="G497" s="15">
        <v>74</v>
      </c>
      <c r="H497" s="20">
        <v>30000</v>
      </c>
      <c r="I497" s="21">
        <v>2220000</v>
      </c>
      <c r="J497" s="21">
        <v>21000</v>
      </c>
      <c r="K497" s="21">
        <v>666000</v>
      </c>
      <c r="L497" s="30">
        <f>MT1_[[#This Row],[Profit]]/MT1_[[#This Row],[Total Sales]]</f>
        <v>0.3</v>
      </c>
    </row>
    <row r="498" spans="1:12" ht="15.6" x14ac:dyDescent="0.3">
      <c r="A498" s="15">
        <v>1498</v>
      </c>
      <c r="B498" s="14">
        <v>45299</v>
      </c>
      <c r="C498" s="18" t="s">
        <v>21</v>
      </c>
      <c r="D498" s="18" t="s">
        <v>16</v>
      </c>
      <c r="E498" s="18" t="s">
        <v>17</v>
      </c>
      <c r="F498" s="18" t="s">
        <v>31</v>
      </c>
      <c r="G498" s="15">
        <v>61</v>
      </c>
      <c r="H498" s="20">
        <v>30000</v>
      </c>
      <c r="I498" s="21">
        <v>1830000</v>
      </c>
      <c r="J498" s="21">
        <v>22200</v>
      </c>
      <c r="K498" s="21">
        <v>475800</v>
      </c>
      <c r="L498" s="30">
        <f>MT1_[[#This Row],[Profit]]/MT1_[[#This Row],[Total Sales]]</f>
        <v>0.26</v>
      </c>
    </row>
    <row r="499" spans="1:12" ht="15.6" x14ac:dyDescent="0.3">
      <c r="A499" s="15">
        <v>1499</v>
      </c>
      <c r="B499" s="14">
        <v>45298</v>
      </c>
      <c r="C499" s="18" t="s">
        <v>21</v>
      </c>
      <c r="D499" s="18" t="s">
        <v>34</v>
      </c>
      <c r="E499" s="18" t="s">
        <v>30</v>
      </c>
      <c r="F499" s="18" t="s">
        <v>18</v>
      </c>
      <c r="G499" s="15">
        <v>56</v>
      </c>
      <c r="H499" s="20">
        <v>500</v>
      </c>
      <c r="I499" s="21">
        <v>28000</v>
      </c>
      <c r="J499" s="21">
        <v>350</v>
      </c>
      <c r="K499" s="21">
        <v>8400</v>
      </c>
      <c r="L499" s="30">
        <f>MT1_[[#This Row],[Profit]]/MT1_[[#This Row],[Total Sales]]</f>
        <v>0.3</v>
      </c>
    </row>
    <row r="500" spans="1:12" ht="15.6" x14ac:dyDescent="0.3">
      <c r="A500" s="15">
        <v>1500</v>
      </c>
      <c r="B500" s="14">
        <v>45322</v>
      </c>
      <c r="C500" s="18" t="s">
        <v>20</v>
      </c>
      <c r="D500" s="18" t="s">
        <v>32</v>
      </c>
      <c r="E500" s="18" t="s">
        <v>17</v>
      </c>
      <c r="F500" s="18" t="s">
        <v>29</v>
      </c>
      <c r="G500" s="15">
        <v>54</v>
      </c>
      <c r="H500" s="20">
        <v>15000</v>
      </c>
      <c r="I500" s="21">
        <v>810000</v>
      </c>
      <c r="J500" s="21">
        <v>12600</v>
      </c>
      <c r="K500" s="21">
        <v>129600</v>
      </c>
      <c r="L500" s="30">
        <f>MT1_[[#This Row],[Profit]]/MT1_[[#This Row],[Total Sales]]</f>
        <v>0.16</v>
      </c>
    </row>
    <row r="501" spans="1:12" ht="15.6" x14ac:dyDescent="0.3">
      <c r="A501" s="15">
        <v>1501</v>
      </c>
      <c r="B501" s="14">
        <v>45295</v>
      </c>
      <c r="C501" s="18" t="s">
        <v>15</v>
      </c>
      <c r="D501" s="18" t="s">
        <v>12</v>
      </c>
      <c r="E501" s="18" t="s">
        <v>30</v>
      </c>
      <c r="F501" s="18" t="s">
        <v>23</v>
      </c>
      <c r="G501" s="15">
        <v>62</v>
      </c>
      <c r="H501" s="20">
        <v>1200</v>
      </c>
      <c r="I501" s="21">
        <v>74400</v>
      </c>
      <c r="J501" s="21">
        <v>840</v>
      </c>
      <c r="K501" s="21">
        <v>22320</v>
      </c>
      <c r="L501" s="30">
        <f>MT1_[[#This Row],[Profit]]/MT1_[[#This Row],[Total Sales]]</f>
        <v>0.3</v>
      </c>
    </row>
    <row r="502" spans="1:12" ht="15.6" x14ac:dyDescent="0.3">
      <c r="A502" s="15">
        <v>1502</v>
      </c>
      <c r="B502" s="14">
        <v>45344</v>
      </c>
      <c r="C502" s="18" t="s">
        <v>20</v>
      </c>
      <c r="D502" s="18" t="s">
        <v>32</v>
      </c>
      <c r="E502" s="18" t="s">
        <v>13</v>
      </c>
      <c r="F502" s="18" t="s">
        <v>35</v>
      </c>
      <c r="G502" s="15">
        <v>58</v>
      </c>
      <c r="H502" s="20">
        <v>500</v>
      </c>
      <c r="I502" s="21">
        <v>29000</v>
      </c>
      <c r="J502" s="21">
        <v>390</v>
      </c>
      <c r="K502" s="21">
        <v>6380</v>
      </c>
      <c r="L502" s="30">
        <f>MT1_[[#This Row],[Profit]]/MT1_[[#This Row],[Total Sales]]</f>
        <v>0.22</v>
      </c>
    </row>
    <row r="503" spans="1:12" ht="15.6" x14ac:dyDescent="0.3">
      <c r="A503" s="15">
        <v>1503</v>
      </c>
      <c r="B503" s="14">
        <v>45328</v>
      </c>
      <c r="C503" s="18" t="s">
        <v>20</v>
      </c>
      <c r="D503" s="18" t="s">
        <v>32</v>
      </c>
      <c r="E503" s="18" t="s">
        <v>25</v>
      </c>
      <c r="F503" s="18" t="s">
        <v>26</v>
      </c>
      <c r="G503" s="15">
        <v>35</v>
      </c>
      <c r="H503" s="20">
        <v>900</v>
      </c>
      <c r="I503" s="21">
        <v>31500</v>
      </c>
      <c r="J503" s="21">
        <v>666</v>
      </c>
      <c r="K503" s="21">
        <v>8190</v>
      </c>
      <c r="L503" s="30">
        <f>MT1_[[#This Row],[Profit]]/MT1_[[#This Row],[Total Sales]]</f>
        <v>0.26</v>
      </c>
    </row>
    <row r="504" spans="1:12" ht="15.6" x14ac:dyDescent="0.3">
      <c r="A504" s="15">
        <v>1504</v>
      </c>
      <c r="B504" s="14">
        <v>45355</v>
      </c>
      <c r="C504" s="18" t="s">
        <v>19</v>
      </c>
      <c r="D504" s="18" t="s">
        <v>12</v>
      </c>
      <c r="E504" s="18" t="s">
        <v>25</v>
      </c>
      <c r="F504" s="18" t="s">
        <v>24</v>
      </c>
      <c r="G504" s="15">
        <v>14</v>
      </c>
      <c r="H504" s="20">
        <v>700</v>
      </c>
      <c r="I504" s="21">
        <v>9800</v>
      </c>
      <c r="J504" s="21">
        <v>511</v>
      </c>
      <c r="K504" s="21">
        <v>2646</v>
      </c>
      <c r="L504" s="30">
        <f>MT1_[[#This Row],[Profit]]/MT1_[[#This Row],[Total Sales]]</f>
        <v>0.27</v>
      </c>
    </row>
    <row r="505" spans="1:12" ht="15.6" x14ac:dyDescent="0.3">
      <c r="A505" s="15">
        <v>1505</v>
      </c>
      <c r="B505" s="14">
        <v>45377</v>
      </c>
      <c r="C505" s="18" t="s">
        <v>21</v>
      </c>
      <c r="D505" s="18" t="s">
        <v>33</v>
      </c>
      <c r="E505" s="18" t="s">
        <v>30</v>
      </c>
      <c r="F505" s="18" t="s">
        <v>36</v>
      </c>
      <c r="G505" s="15">
        <v>83</v>
      </c>
      <c r="H505" s="20">
        <v>30000</v>
      </c>
      <c r="I505" s="21">
        <v>2490000</v>
      </c>
      <c r="J505" s="21">
        <v>26100</v>
      </c>
      <c r="K505" s="21">
        <v>323700</v>
      </c>
      <c r="L505" s="30">
        <f>MT1_[[#This Row],[Profit]]/MT1_[[#This Row],[Total Sales]]</f>
        <v>0.13</v>
      </c>
    </row>
    <row r="506" spans="1:12" ht="15.6" x14ac:dyDescent="0.3">
      <c r="A506" s="15">
        <v>1506</v>
      </c>
      <c r="B506" s="14">
        <v>45382</v>
      </c>
      <c r="C506" s="18" t="s">
        <v>15</v>
      </c>
      <c r="D506" s="18" t="s">
        <v>12</v>
      </c>
      <c r="E506" s="18" t="s">
        <v>28</v>
      </c>
      <c r="F506" s="18" t="s">
        <v>26</v>
      </c>
      <c r="G506" s="15">
        <v>60</v>
      </c>
      <c r="H506" s="20">
        <v>250</v>
      </c>
      <c r="I506" s="21">
        <v>15000</v>
      </c>
      <c r="J506" s="21">
        <v>222.5</v>
      </c>
      <c r="K506" s="21">
        <v>1650</v>
      </c>
      <c r="L506" s="30">
        <f>MT1_[[#This Row],[Profit]]/MT1_[[#This Row],[Total Sales]]</f>
        <v>0.11</v>
      </c>
    </row>
    <row r="507" spans="1:12" ht="15.6" x14ac:dyDescent="0.3">
      <c r="A507" s="15">
        <v>1507</v>
      </c>
      <c r="B507" s="14">
        <v>45331</v>
      </c>
      <c r="C507" s="18" t="s">
        <v>21</v>
      </c>
      <c r="D507" s="18" t="s">
        <v>32</v>
      </c>
      <c r="E507" s="18" t="s">
        <v>28</v>
      </c>
      <c r="F507" s="18" t="s">
        <v>36</v>
      </c>
      <c r="G507" s="15">
        <v>6</v>
      </c>
      <c r="H507" s="20">
        <v>30000</v>
      </c>
      <c r="I507" s="21">
        <v>180000</v>
      </c>
      <c r="J507" s="21">
        <v>22800</v>
      </c>
      <c r="K507" s="21">
        <v>43200</v>
      </c>
      <c r="L507" s="30">
        <f>MT1_[[#This Row],[Profit]]/MT1_[[#This Row],[Total Sales]]</f>
        <v>0.24</v>
      </c>
    </row>
    <row r="508" spans="1:12" ht="15.6" x14ac:dyDescent="0.3">
      <c r="A508" s="15">
        <v>1508</v>
      </c>
      <c r="B508" s="14">
        <v>45295</v>
      </c>
      <c r="C508" s="18" t="s">
        <v>21</v>
      </c>
      <c r="D508" s="18" t="s">
        <v>34</v>
      </c>
      <c r="E508" s="18" t="s">
        <v>17</v>
      </c>
      <c r="F508" s="18" t="s">
        <v>23</v>
      </c>
      <c r="G508" s="15">
        <v>11</v>
      </c>
      <c r="H508" s="20">
        <v>15000</v>
      </c>
      <c r="I508" s="21">
        <v>165000</v>
      </c>
      <c r="J508" s="21">
        <v>13200</v>
      </c>
      <c r="K508" s="21">
        <v>19800</v>
      </c>
      <c r="L508" s="30">
        <f>MT1_[[#This Row],[Profit]]/MT1_[[#This Row],[Total Sales]]</f>
        <v>0.12</v>
      </c>
    </row>
    <row r="509" spans="1:12" ht="15.6" x14ac:dyDescent="0.3">
      <c r="A509" s="15">
        <v>1509</v>
      </c>
      <c r="B509" s="14">
        <v>45305</v>
      </c>
      <c r="C509" s="18" t="s">
        <v>20</v>
      </c>
      <c r="D509" s="18" t="s">
        <v>12</v>
      </c>
      <c r="E509" s="18" t="s">
        <v>13</v>
      </c>
      <c r="F509" s="18" t="s">
        <v>36</v>
      </c>
      <c r="G509" s="15">
        <v>79</v>
      </c>
      <c r="H509" s="20">
        <v>900</v>
      </c>
      <c r="I509" s="21">
        <v>71100</v>
      </c>
      <c r="J509" s="21">
        <v>648</v>
      </c>
      <c r="K509" s="21">
        <v>19908</v>
      </c>
      <c r="L509" s="30">
        <f>MT1_[[#This Row],[Profit]]/MT1_[[#This Row],[Total Sales]]</f>
        <v>0.28000000000000003</v>
      </c>
    </row>
    <row r="510" spans="1:12" ht="15.6" x14ac:dyDescent="0.3">
      <c r="A510" s="15">
        <v>1510</v>
      </c>
      <c r="B510" s="14">
        <v>45324</v>
      </c>
      <c r="C510" s="18" t="s">
        <v>19</v>
      </c>
      <c r="D510" s="18" t="s">
        <v>34</v>
      </c>
      <c r="E510" s="18" t="s">
        <v>25</v>
      </c>
      <c r="F510" s="18" t="s">
        <v>14</v>
      </c>
      <c r="G510" s="15">
        <v>29</v>
      </c>
      <c r="H510" s="20">
        <v>1200</v>
      </c>
      <c r="I510" s="21">
        <v>34800</v>
      </c>
      <c r="J510" s="21">
        <v>984</v>
      </c>
      <c r="K510" s="21">
        <v>6264</v>
      </c>
      <c r="L510" s="30">
        <f>MT1_[[#This Row],[Profit]]/MT1_[[#This Row],[Total Sales]]</f>
        <v>0.18</v>
      </c>
    </row>
    <row r="511" spans="1:12" ht="15.6" x14ac:dyDescent="0.3">
      <c r="A511" s="15">
        <v>1511</v>
      </c>
      <c r="B511" s="14">
        <v>45316</v>
      </c>
      <c r="C511" s="18" t="s">
        <v>20</v>
      </c>
      <c r="D511" s="18" t="s">
        <v>32</v>
      </c>
      <c r="E511" s="18" t="s">
        <v>17</v>
      </c>
      <c r="F511" s="18" t="s">
        <v>29</v>
      </c>
      <c r="G511" s="15">
        <v>14</v>
      </c>
      <c r="H511" s="20">
        <v>150</v>
      </c>
      <c r="I511" s="21">
        <v>2100</v>
      </c>
      <c r="J511" s="21">
        <v>133.5</v>
      </c>
      <c r="K511" s="21">
        <v>231</v>
      </c>
      <c r="L511" s="30">
        <f>MT1_[[#This Row],[Profit]]/MT1_[[#This Row],[Total Sales]]</f>
        <v>0.11</v>
      </c>
    </row>
    <row r="512" spans="1:12" ht="15.6" x14ac:dyDescent="0.3">
      <c r="A512" s="15">
        <v>1512</v>
      </c>
      <c r="B512" s="14">
        <v>45355</v>
      </c>
      <c r="C512" s="18" t="s">
        <v>19</v>
      </c>
      <c r="D512" s="18" t="s">
        <v>34</v>
      </c>
      <c r="E512" s="18" t="s">
        <v>30</v>
      </c>
      <c r="F512" s="18" t="s">
        <v>14</v>
      </c>
      <c r="G512" s="15">
        <v>72</v>
      </c>
      <c r="H512" s="20">
        <v>300</v>
      </c>
      <c r="I512" s="21">
        <v>21600</v>
      </c>
      <c r="J512" s="21">
        <v>210</v>
      </c>
      <c r="K512" s="21">
        <v>6480</v>
      </c>
      <c r="L512" s="30">
        <f>MT1_[[#This Row],[Profit]]/MT1_[[#This Row],[Total Sales]]</f>
        <v>0.3</v>
      </c>
    </row>
    <row r="513" spans="1:12" ht="15.6" x14ac:dyDescent="0.3">
      <c r="A513" s="15">
        <v>1513</v>
      </c>
      <c r="B513" s="14">
        <v>45335</v>
      </c>
      <c r="C513" s="18" t="s">
        <v>20</v>
      </c>
      <c r="D513" s="18" t="s">
        <v>32</v>
      </c>
      <c r="E513" s="18" t="s">
        <v>17</v>
      </c>
      <c r="F513" s="18" t="s">
        <v>27</v>
      </c>
      <c r="G513" s="15">
        <v>45</v>
      </c>
      <c r="H513" s="20">
        <v>250</v>
      </c>
      <c r="I513" s="21">
        <v>11250</v>
      </c>
      <c r="J513" s="21">
        <v>180</v>
      </c>
      <c r="K513" s="21">
        <v>3150</v>
      </c>
      <c r="L513" s="30">
        <f>MT1_[[#This Row],[Profit]]/MT1_[[#This Row],[Total Sales]]</f>
        <v>0.28000000000000003</v>
      </c>
    </row>
    <row r="514" spans="1:12" ht="15.6" x14ac:dyDescent="0.3">
      <c r="A514" s="15">
        <v>1514</v>
      </c>
      <c r="B514" s="14">
        <v>45328</v>
      </c>
      <c r="C514" s="18" t="s">
        <v>11</v>
      </c>
      <c r="D514" s="18" t="s">
        <v>32</v>
      </c>
      <c r="E514" s="18" t="s">
        <v>17</v>
      </c>
      <c r="F514" s="18" t="s">
        <v>18</v>
      </c>
      <c r="G514" s="15">
        <v>59</v>
      </c>
      <c r="H514" s="20">
        <v>30000</v>
      </c>
      <c r="I514" s="21">
        <v>1770000</v>
      </c>
      <c r="J514" s="21">
        <v>23700</v>
      </c>
      <c r="K514" s="21">
        <v>371700</v>
      </c>
      <c r="L514" s="30">
        <f>MT1_[[#This Row],[Profit]]/MT1_[[#This Row],[Total Sales]]</f>
        <v>0.21</v>
      </c>
    </row>
    <row r="515" spans="1:12" ht="15.6" x14ac:dyDescent="0.3">
      <c r="A515" s="15">
        <v>1515</v>
      </c>
      <c r="B515" s="14">
        <v>45380</v>
      </c>
      <c r="C515" s="18" t="s">
        <v>11</v>
      </c>
      <c r="D515" s="18" t="s">
        <v>16</v>
      </c>
      <c r="E515" s="18" t="s">
        <v>28</v>
      </c>
      <c r="F515" s="18" t="s">
        <v>26</v>
      </c>
      <c r="G515" s="15">
        <v>97</v>
      </c>
      <c r="H515" s="20">
        <v>30000</v>
      </c>
      <c r="I515" s="21">
        <v>2910000</v>
      </c>
      <c r="J515" s="21">
        <v>22500</v>
      </c>
      <c r="K515" s="21">
        <v>727500</v>
      </c>
      <c r="L515" s="30">
        <f>MT1_[[#This Row],[Profit]]/MT1_[[#This Row],[Total Sales]]</f>
        <v>0.25</v>
      </c>
    </row>
    <row r="516" spans="1:12" ht="15.6" x14ac:dyDescent="0.3">
      <c r="A516" s="15">
        <v>1516</v>
      </c>
      <c r="B516" s="14">
        <v>45326</v>
      </c>
      <c r="C516" s="18" t="s">
        <v>19</v>
      </c>
      <c r="D516" s="18" t="s">
        <v>32</v>
      </c>
      <c r="E516" s="18" t="s">
        <v>25</v>
      </c>
      <c r="F516" s="18" t="s">
        <v>27</v>
      </c>
      <c r="G516" s="15">
        <v>50</v>
      </c>
      <c r="H516" s="20">
        <v>900</v>
      </c>
      <c r="I516" s="21">
        <v>45000</v>
      </c>
      <c r="J516" s="21">
        <v>810</v>
      </c>
      <c r="K516" s="21">
        <v>4500</v>
      </c>
      <c r="L516" s="30">
        <f>MT1_[[#This Row],[Profit]]/MT1_[[#This Row],[Total Sales]]</f>
        <v>0.1</v>
      </c>
    </row>
    <row r="517" spans="1:12" ht="15.6" x14ac:dyDescent="0.3">
      <c r="A517" s="15">
        <v>1517</v>
      </c>
      <c r="B517" s="14">
        <v>45356</v>
      </c>
      <c r="C517" s="18" t="s">
        <v>11</v>
      </c>
      <c r="D517" s="18" t="s">
        <v>33</v>
      </c>
      <c r="E517" s="18" t="s">
        <v>25</v>
      </c>
      <c r="F517" s="18" t="s">
        <v>36</v>
      </c>
      <c r="G517" s="15">
        <v>74</v>
      </c>
      <c r="H517" s="20">
        <v>15000</v>
      </c>
      <c r="I517" s="21">
        <v>1110000</v>
      </c>
      <c r="J517" s="21">
        <v>12000</v>
      </c>
      <c r="K517" s="21">
        <v>222000</v>
      </c>
      <c r="L517" s="30">
        <f>MT1_[[#This Row],[Profit]]/MT1_[[#This Row],[Total Sales]]</f>
        <v>0.2</v>
      </c>
    </row>
    <row r="518" spans="1:12" ht="15.6" x14ac:dyDescent="0.3">
      <c r="A518" s="15">
        <v>1518</v>
      </c>
      <c r="B518" s="14">
        <v>45308</v>
      </c>
      <c r="C518" s="18" t="s">
        <v>11</v>
      </c>
      <c r="D518" s="18" t="s">
        <v>16</v>
      </c>
      <c r="E518" s="18" t="s">
        <v>28</v>
      </c>
      <c r="F518" s="18" t="s">
        <v>14</v>
      </c>
      <c r="G518" s="15">
        <v>79</v>
      </c>
      <c r="H518" s="20">
        <v>30000</v>
      </c>
      <c r="I518" s="21">
        <v>2370000</v>
      </c>
      <c r="J518" s="21">
        <v>22200</v>
      </c>
      <c r="K518" s="21">
        <v>616200</v>
      </c>
      <c r="L518" s="30">
        <f>MT1_[[#This Row],[Profit]]/MT1_[[#This Row],[Total Sales]]</f>
        <v>0.26</v>
      </c>
    </row>
    <row r="519" spans="1:12" ht="15.6" x14ac:dyDescent="0.3">
      <c r="A519" s="15">
        <v>1519</v>
      </c>
      <c r="B519" s="14">
        <v>45308</v>
      </c>
      <c r="C519" s="18" t="s">
        <v>19</v>
      </c>
      <c r="D519" s="18" t="s">
        <v>33</v>
      </c>
      <c r="E519" s="18" t="s">
        <v>13</v>
      </c>
      <c r="F519" s="18" t="s">
        <v>18</v>
      </c>
      <c r="G519" s="15">
        <v>68</v>
      </c>
      <c r="H519" s="20">
        <v>30000</v>
      </c>
      <c r="I519" s="21">
        <v>2040000</v>
      </c>
      <c r="J519" s="21">
        <v>27000</v>
      </c>
      <c r="K519" s="21">
        <v>204000</v>
      </c>
      <c r="L519" s="30">
        <f>MT1_[[#This Row],[Profit]]/MT1_[[#This Row],[Total Sales]]</f>
        <v>0.1</v>
      </c>
    </row>
    <row r="520" spans="1:12" ht="15.6" x14ac:dyDescent="0.3">
      <c r="A520" s="15">
        <v>1520</v>
      </c>
      <c r="B520" s="14">
        <v>45315</v>
      </c>
      <c r="C520" s="18" t="s">
        <v>20</v>
      </c>
      <c r="D520" s="18" t="s">
        <v>12</v>
      </c>
      <c r="E520" s="18" t="s">
        <v>28</v>
      </c>
      <c r="F520" s="18" t="s">
        <v>31</v>
      </c>
      <c r="G520" s="15">
        <v>78</v>
      </c>
      <c r="H520" s="20">
        <v>30000</v>
      </c>
      <c r="I520" s="21">
        <v>2340000</v>
      </c>
      <c r="J520" s="21">
        <v>26700</v>
      </c>
      <c r="K520" s="21">
        <v>257400</v>
      </c>
      <c r="L520" s="30">
        <f>MT1_[[#This Row],[Profit]]/MT1_[[#This Row],[Total Sales]]</f>
        <v>0.11</v>
      </c>
    </row>
    <row r="521" spans="1:12" ht="15.6" x14ac:dyDescent="0.3">
      <c r="A521" s="15">
        <v>1521</v>
      </c>
      <c r="B521" s="14">
        <v>45317</v>
      </c>
      <c r="C521" s="18" t="s">
        <v>20</v>
      </c>
      <c r="D521" s="18" t="s">
        <v>16</v>
      </c>
      <c r="E521" s="18" t="s">
        <v>30</v>
      </c>
      <c r="F521" s="18" t="s">
        <v>36</v>
      </c>
      <c r="G521" s="15">
        <v>60</v>
      </c>
      <c r="H521" s="20">
        <v>50</v>
      </c>
      <c r="I521" s="21">
        <v>3000</v>
      </c>
      <c r="J521" s="21">
        <v>36</v>
      </c>
      <c r="K521" s="21">
        <v>840</v>
      </c>
      <c r="L521" s="30">
        <f>MT1_[[#This Row],[Profit]]/MT1_[[#This Row],[Total Sales]]</f>
        <v>0.28000000000000003</v>
      </c>
    </row>
    <row r="522" spans="1:12" ht="15.6" x14ac:dyDescent="0.3">
      <c r="A522" s="15">
        <v>1522</v>
      </c>
      <c r="B522" s="14">
        <v>45361</v>
      </c>
      <c r="C522" s="18" t="s">
        <v>20</v>
      </c>
      <c r="D522" s="18" t="s">
        <v>12</v>
      </c>
      <c r="E522" s="18" t="s">
        <v>17</v>
      </c>
      <c r="F522" s="18" t="s">
        <v>24</v>
      </c>
      <c r="G522" s="15">
        <v>57</v>
      </c>
      <c r="H522" s="20">
        <v>15000</v>
      </c>
      <c r="I522" s="21">
        <v>855000</v>
      </c>
      <c r="J522" s="21">
        <v>12750</v>
      </c>
      <c r="K522" s="21">
        <v>128250</v>
      </c>
      <c r="L522" s="30">
        <f>MT1_[[#This Row],[Profit]]/MT1_[[#This Row],[Total Sales]]</f>
        <v>0.15</v>
      </c>
    </row>
    <row r="523" spans="1:12" ht="15.6" x14ac:dyDescent="0.3">
      <c r="A523" s="15">
        <v>1523</v>
      </c>
      <c r="B523" s="14">
        <v>45375</v>
      </c>
      <c r="C523" s="18" t="s">
        <v>21</v>
      </c>
      <c r="D523" s="18" t="s">
        <v>34</v>
      </c>
      <c r="E523" s="18" t="s">
        <v>30</v>
      </c>
      <c r="F523" s="18" t="s">
        <v>18</v>
      </c>
      <c r="G523" s="15">
        <v>18</v>
      </c>
      <c r="H523" s="20">
        <v>150</v>
      </c>
      <c r="I523" s="21">
        <v>2700</v>
      </c>
      <c r="J523" s="21">
        <v>123</v>
      </c>
      <c r="K523" s="21">
        <v>486</v>
      </c>
      <c r="L523" s="30">
        <f>MT1_[[#This Row],[Profit]]/MT1_[[#This Row],[Total Sales]]</f>
        <v>0.18</v>
      </c>
    </row>
    <row r="524" spans="1:12" ht="15.6" x14ac:dyDescent="0.3">
      <c r="A524" s="15">
        <v>1524</v>
      </c>
      <c r="B524" s="14">
        <v>45307</v>
      </c>
      <c r="C524" s="18" t="s">
        <v>20</v>
      </c>
      <c r="D524" s="18" t="s">
        <v>32</v>
      </c>
      <c r="E524" s="18" t="s">
        <v>17</v>
      </c>
      <c r="F524" s="18" t="s">
        <v>24</v>
      </c>
      <c r="G524" s="15">
        <v>91</v>
      </c>
      <c r="H524" s="20">
        <v>500</v>
      </c>
      <c r="I524" s="21">
        <v>45500</v>
      </c>
      <c r="J524" s="21">
        <v>390</v>
      </c>
      <c r="K524" s="21">
        <v>10010</v>
      </c>
      <c r="L524" s="30">
        <f>MT1_[[#This Row],[Profit]]/MT1_[[#This Row],[Total Sales]]</f>
        <v>0.22</v>
      </c>
    </row>
    <row r="525" spans="1:12" ht="15.6" x14ac:dyDescent="0.3">
      <c r="A525" s="15">
        <v>1525</v>
      </c>
      <c r="B525" s="14">
        <v>45359</v>
      </c>
      <c r="C525" s="18" t="s">
        <v>15</v>
      </c>
      <c r="D525" s="18" t="s">
        <v>32</v>
      </c>
      <c r="E525" s="18" t="s">
        <v>28</v>
      </c>
      <c r="F525" s="18" t="s">
        <v>35</v>
      </c>
      <c r="G525" s="15">
        <v>66</v>
      </c>
      <c r="H525" s="20">
        <v>300</v>
      </c>
      <c r="I525" s="21">
        <v>19800</v>
      </c>
      <c r="J525" s="21">
        <v>270</v>
      </c>
      <c r="K525" s="21">
        <v>1980</v>
      </c>
      <c r="L525" s="30">
        <f>MT1_[[#This Row],[Profit]]/MT1_[[#This Row],[Total Sales]]</f>
        <v>0.1</v>
      </c>
    </row>
    <row r="526" spans="1:12" ht="15.6" x14ac:dyDescent="0.3">
      <c r="A526" s="15">
        <v>1526</v>
      </c>
      <c r="B526" s="14">
        <v>45360</v>
      </c>
      <c r="C526" s="18" t="s">
        <v>11</v>
      </c>
      <c r="D526" s="18" t="s">
        <v>16</v>
      </c>
      <c r="E526" s="18" t="s">
        <v>13</v>
      </c>
      <c r="F526" s="18" t="s">
        <v>23</v>
      </c>
      <c r="G526" s="15">
        <v>53</v>
      </c>
      <c r="H526" s="20">
        <v>250</v>
      </c>
      <c r="I526" s="21">
        <v>13250</v>
      </c>
      <c r="J526" s="21">
        <v>212.5</v>
      </c>
      <c r="K526" s="21">
        <v>1987.5</v>
      </c>
      <c r="L526" s="30">
        <f>MT1_[[#This Row],[Profit]]/MT1_[[#This Row],[Total Sales]]</f>
        <v>0.15</v>
      </c>
    </row>
    <row r="527" spans="1:12" ht="15.6" x14ac:dyDescent="0.3">
      <c r="A527" s="15">
        <v>1527</v>
      </c>
      <c r="B527" s="14">
        <v>45355</v>
      </c>
      <c r="C527" s="18" t="s">
        <v>15</v>
      </c>
      <c r="D527" s="18" t="s">
        <v>34</v>
      </c>
      <c r="E527" s="18" t="s">
        <v>13</v>
      </c>
      <c r="F527" s="18" t="s">
        <v>26</v>
      </c>
      <c r="G527" s="15">
        <v>62</v>
      </c>
      <c r="H527" s="20">
        <v>250</v>
      </c>
      <c r="I527" s="21">
        <v>15500</v>
      </c>
      <c r="J527" s="21">
        <v>212.5</v>
      </c>
      <c r="K527" s="21">
        <v>2325</v>
      </c>
      <c r="L527" s="30">
        <f>MT1_[[#This Row],[Profit]]/MT1_[[#This Row],[Total Sales]]</f>
        <v>0.15</v>
      </c>
    </row>
    <row r="528" spans="1:12" ht="15.6" x14ac:dyDescent="0.3">
      <c r="A528" s="15">
        <v>1528</v>
      </c>
      <c r="B528" s="14">
        <v>45298</v>
      </c>
      <c r="C528" s="18" t="s">
        <v>11</v>
      </c>
      <c r="D528" s="18" t="s">
        <v>32</v>
      </c>
      <c r="E528" s="18" t="s">
        <v>30</v>
      </c>
      <c r="F528" s="18" t="s">
        <v>35</v>
      </c>
      <c r="G528" s="15">
        <v>40</v>
      </c>
      <c r="H528" s="20">
        <v>900</v>
      </c>
      <c r="I528" s="21">
        <v>36000</v>
      </c>
      <c r="J528" s="21">
        <v>666</v>
      </c>
      <c r="K528" s="21">
        <v>9360</v>
      </c>
      <c r="L528" s="30">
        <f>MT1_[[#This Row],[Profit]]/MT1_[[#This Row],[Total Sales]]</f>
        <v>0.26</v>
      </c>
    </row>
    <row r="529" spans="1:12" ht="15.6" x14ac:dyDescent="0.3">
      <c r="A529" s="15">
        <v>1529</v>
      </c>
      <c r="B529" s="14">
        <v>45333</v>
      </c>
      <c r="C529" s="18" t="s">
        <v>15</v>
      </c>
      <c r="D529" s="18" t="s">
        <v>16</v>
      </c>
      <c r="E529" s="18" t="s">
        <v>30</v>
      </c>
      <c r="F529" s="18" t="s">
        <v>18</v>
      </c>
      <c r="G529" s="15">
        <v>30</v>
      </c>
      <c r="H529" s="20">
        <v>700</v>
      </c>
      <c r="I529" s="21">
        <v>21000</v>
      </c>
      <c r="J529" s="21">
        <v>581</v>
      </c>
      <c r="K529" s="21">
        <v>3570</v>
      </c>
      <c r="L529" s="30">
        <f>MT1_[[#This Row],[Profit]]/MT1_[[#This Row],[Total Sales]]</f>
        <v>0.17</v>
      </c>
    </row>
    <row r="530" spans="1:12" ht="15.6" x14ac:dyDescent="0.3">
      <c r="A530" s="15">
        <v>1530</v>
      </c>
      <c r="B530" s="14">
        <v>45374</v>
      </c>
      <c r="C530" s="18" t="s">
        <v>21</v>
      </c>
      <c r="D530" s="18" t="s">
        <v>33</v>
      </c>
      <c r="E530" s="18" t="s">
        <v>13</v>
      </c>
      <c r="F530" s="18" t="s">
        <v>18</v>
      </c>
      <c r="G530" s="15">
        <v>6</v>
      </c>
      <c r="H530" s="20">
        <v>250</v>
      </c>
      <c r="I530" s="21">
        <v>1500</v>
      </c>
      <c r="J530" s="21">
        <v>225</v>
      </c>
      <c r="K530" s="21">
        <v>150</v>
      </c>
      <c r="L530" s="30">
        <f>MT1_[[#This Row],[Profit]]/MT1_[[#This Row],[Total Sales]]</f>
        <v>0.1</v>
      </c>
    </row>
    <row r="531" spans="1:12" ht="15.6" x14ac:dyDescent="0.3">
      <c r="A531" s="15">
        <v>1531</v>
      </c>
      <c r="B531" s="14">
        <v>45325</v>
      </c>
      <c r="C531" s="18" t="s">
        <v>20</v>
      </c>
      <c r="D531" s="18" t="s">
        <v>12</v>
      </c>
      <c r="E531" s="18" t="s">
        <v>13</v>
      </c>
      <c r="F531" s="18" t="s">
        <v>35</v>
      </c>
      <c r="G531" s="15">
        <v>71</v>
      </c>
      <c r="H531" s="20">
        <v>500</v>
      </c>
      <c r="I531" s="21">
        <v>35500</v>
      </c>
      <c r="J531" s="21">
        <v>365</v>
      </c>
      <c r="K531" s="21">
        <v>9585</v>
      </c>
      <c r="L531" s="30">
        <f>MT1_[[#This Row],[Profit]]/MT1_[[#This Row],[Total Sales]]</f>
        <v>0.27</v>
      </c>
    </row>
    <row r="532" spans="1:12" ht="15.6" x14ac:dyDescent="0.3">
      <c r="A532" s="15">
        <v>1532</v>
      </c>
      <c r="B532" s="14">
        <v>45328</v>
      </c>
      <c r="C532" s="18" t="s">
        <v>11</v>
      </c>
      <c r="D532" s="18" t="s">
        <v>33</v>
      </c>
      <c r="E532" s="18" t="s">
        <v>17</v>
      </c>
      <c r="F532" s="18" t="s">
        <v>14</v>
      </c>
      <c r="G532" s="15">
        <v>71</v>
      </c>
      <c r="H532" s="20">
        <v>1200</v>
      </c>
      <c r="I532" s="21">
        <v>85200</v>
      </c>
      <c r="J532" s="21">
        <v>912</v>
      </c>
      <c r="K532" s="21">
        <v>20448</v>
      </c>
      <c r="L532" s="30">
        <f>MT1_[[#This Row],[Profit]]/MT1_[[#This Row],[Total Sales]]</f>
        <v>0.24</v>
      </c>
    </row>
    <row r="533" spans="1:12" ht="15.6" x14ac:dyDescent="0.3">
      <c r="A533" s="15">
        <v>1533</v>
      </c>
      <c r="B533" s="14">
        <v>45325</v>
      </c>
      <c r="C533" s="18" t="s">
        <v>19</v>
      </c>
      <c r="D533" s="18" t="s">
        <v>12</v>
      </c>
      <c r="E533" s="18" t="s">
        <v>28</v>
      </c>
      <c r="F533" s="18" t="s">
        <v>36</v>
      </c>
      <c r="G533" s="15">
        <v>24</v>
      </c>
      <c r="H533" s="20">
        <v>30000</v>
      </c>
      <c r="I533" s="21">
        <v>720000</v>
      </c>
      <c r="J533" s="21">
        <v>21900</v>
      </c>
      <c r="K533" s="21">
        <v>194400</v>
      </c>
      <c r="L533" s="30">
        <f>MT1_[[#This Row],[Profit]]/MT1_[[#This Row],[Total Sales]]</f>
        <v>0.27</v>
      </c>
    </row>
    <row r="534" spans="1:12" ht="15.6" x14ac:dyDescent="0.3">
      <c r="A534" s="15">
        <v>1534</v>
      </c>
      <c r="B534" s="14">
        <v>45330</v>
      </c>
      <c r="C534" s="18" t="s">
        <v>15</v>
      </c>
      <c r="D534" s="18" t="s">
        <v>16</v>
      </c>
      <c r="E534" s="18" t="s">
        <v>30</v>
      </c>
      <c r="F534" s="18" t="s">
        <v>36</v>
      </c>
      <c r="G534" s="15">
        <v>23</v>
      </c>
      <c r="H534" s="20">
        <v>500</v>
      </c>
      <c r="I534" s="21">
        <v>11500</v>
      </c>
      <c r="J534" s="21">
        <v>445</v>
      </c>
      <c r="K534" s="21">
        <v>1265</v>
      </c>
      <c r="L534" s="30">
        <f>MT1_[[#This Row],[Profit]]/MT1_[[#This Row],[Total Sales]]</f>
        <v>0.11</v>
      </c>
    </row>
    <row r="535" spans="1:12" ht="15.6" x14ac:dyDescent="0.3">
      <c r="A535" s="15">
        <v>1535</v>
      </c>
      <c r="B535" s="14">
        <v>45320</v>
      </c>
      <c r="C535" s="18" t="s">
        <v>19</v>
      </c>
      <c r="D535" s="18" t="s">
        <v>34</v>
      </c>
      <c r="E535" s="18" t="s">
        <v>17</v>
      </c>
      <c r="F535" s="18" t="s">
        <v>26</v>
      </c>
      <c r="G535" s="15">
        <v>87</v>
      </c>
      <c r="H535" s="20">
        <v>50</v>
      </c>
      <c r="I535" s="21">
        <v>4350</v>
      </c>
      <c r="J535" s="21">
        <v>35</v>
      </c>
      <c r="K535" s="21">
        <v>1305</v>
      </c>
      <c r="L535" s="30">
        <f>MT1_[[#This Row],[Profit]]/MT1_[[#This Row],[Total Sales]]</f>
        <v>0.3</v>
      </c>
    </row>
    <row r="536" spans="1:12" ht="15.6" x14ac:dyDescent="0.3">
      <c r="A536" s="15">
        <v>1536</v>
      </c>
      <c r="B536" s="14">
        <v>45341</v>
      </c>
      <c r="C536" s="18" t="s">
        <v>11</v>
      </c>
      <c r="D536" s="18" t="s">
        <v>32</v>
      </c>
      <c r="E536" s="18" t="s">
        <v>28</v>
      </c>
      <c r="F536" s="18" t="s">
        <v>27</v>
      </c>
      <c r="G536" s="15">
        <v>47</v>
      </c>
      <c r="H536" s="20">
        <v>700</v>
      </c>
      <c r="I536" s="21">
        <v>32900</v>
      </c>
      <c r="J536" s="21">
        <v>623</v>
      </c>
      <c r="K536" s="21">
        <v>3619</v>
      </c>
      <c r="L536" s="30">
        <f>MT1_[[#This Row],[Profit]]/MT1_[[#This Row],[Total Sales]]</f>
        <v>0.11</v>
      </c>
    </row>
    <row r="537" spans="1:12" ht="15.6" x14ac:dyDescent="0.3">
      <c r="A537" s="15">
        <v>1537</v>
      </c>
      <c r="B537" s="14">
        <v>45364</v>
      </c>
      <c r="C537" s="18" t="s">
        <v>20</v>
      </c>
      <c r="D537" s="18" t="s">
        <v>12</v>
      </c>
      <c r="E537" s="18" t="s">
        <v>30</v>
      </c>
      <c r="F537" s="18" t="s">
        <v>18</v>
      </c>
      <c r="G537" s="15">
        <v>10</v>
      </c>
      <c r="H537" s="20">
        <v>150</v>
      </c>
      <c r="I537" s="21">
        <v>1500</v>
      </c>
      <c r="J537" s="21">
        <v>133.5</v>
      </c>
      <c r="K537" s="21">
        <v>165</v>
      </c>
      <c r="L537" s="30">
        <f>MT1_[[#This Row],[Profit]]/MT1_[[#This Row],[Total Sales]]</f>
        <v>0.11</v>
      </c>
    </row>
    <row r="538" spans="1:12" ht="15.6" x14ac:dyDescent="0.3">
      <c r="A538" s="15">
        <v>1538</v>
      </c>
      <c r="B538" s="14">
        <v>45316</v>
      </c>
      <c r="C538" s="18" t="s">
        <v>15</v>
      </c>
      <c r="D538" s="18" t="s">
        <v>32</v>
      </c>
      <c r="E538" s="18" t="s">
        <v>13</v>
      </c>
      <c r="F538" s="18" t="s">
        <v>31</v>
      </c>
      <c r="G538" s="15">
        <v>31</v>
      </c>
      <c r="H538" s="20">
        <v>30000</v>
      </c>
      <c r="I538" s="21">
        <v>930000</v>
      </c>
      <c r="J538" s="21">
        <v>27000</v>
      </c>
      <c r="K538" s="21">
        <v>93000</v>
      </c>
      <c r="L538" s="30">
        <f>MT1_[[#This Row],[Profit]]/MT1_[[#This Row],[Total Sales]]</f>
        <v>0.1</v>
      </c>
    </row>
    <row r="539" spans="1:12" ht="15.6" x14ac:dyDescent="0.3">
      <c r="A539" s="15">
        <v>1539</v>
      </c>
      <c r="B539" s="14">
        <v>45373</v>
      </c>
      <c r="C539" s="18" t="s">
        <v>21</v>
      </c>
      <c r="D539" s="18" t="s">
        <v>12</v>
      </c>
      <c r="E539" s="18" t="s">
        <v>28</v>
      </c>
      <c r="F539" s="18" t="s">
        <v>29</v>
      </c>
      <c r="G539" s="15">
        <v>50</v>
      </c>
      <c r="H539" s="20">
        <v>30000</v>
      </c>
      <c r="I539" s="21">
        <v>1500000</v>
      </c>
      <c r="J539" s="21">
        <v>22800</v>
      </c>
      <c r="K539" s="21">
        <v>360000</v>
      </c>
      <c r="L539" s="30">
        <f>MT1_[[#This Row],[Profit]]/MT1_[[#This Row],[Total Sales]]</f>
        <v>0.24</v>
      </c>
    </row>
    <row r="540" spans="1:12" ht="15.6" x14ac:dyDescent="0.3">
      <c r="A540" s="15">
        <v>1540</v>
      </c>
      <c r="B540" s="14">
        <v>45336</v>
      </c>
      <c r="C540" s="18" t="s">
        <v>20</v>
      </c>
      <c r="D540" s="18" t="s">
        <v>32</v>
      </c>
      <c r="E540" s="18" t="s">
        <v>13</v>
      </c>
      <c r="F540" s="18" t="s">
        <v>29</v>
      </c>
      <c r="G540" s="15">
        <v>77</v>
      </c>
      <c r="H540" s="20">
        <v>15000</v>
      </c>
      <c r="I540" s="21">
        <v>1155000</v>
      </c>
      <c r="J540" s="21">
        <v>10800</v>
      </c>
      <c r="K540" s="21">
        <v>323400</v>
      </c>
      <c r="L540" s="30">
        <f>MT1_[[#This Row],[Profit]]/MT1_[[#This Row],[Total Sales]]</f>
        <v>0.28000000000000003</v>
      </c>
    </row>
    <row r="541" spans="1:12" ht="15.6" x14ac:dyDescent="0.3">
      <c r="A541" s="15">
        <v>1541</v>
      </c>
      <c r="B541" s="14">
        <v>45368</v>
      </c>
      <c r="C541" s="18" t="s">
        <v>19</v>
      </c>
      <c r="D541" s="18" t="s">
        <v>33</v>
      </c>
      <c r="E541" s="18" t="s">
        <v>13</v>
      </c>
      <c r="F541" s="18" t="s">
        <v>29</v>
      </c>
      <c r="G541" s="15">
        <v>43</v>
      </c>
      <c r="H541" s="20">
        <v>700</v>
      </c>
      <c r="I541" s="21">
        <v>30100</v>
      </c>
      <c r="J541" s="21">
        <v>539</v>
      </c>
      <c r="K541" s="21">
        <v>6923</v>
      </c>
      <c r="L541" s="30">
        <f>MT1_[[#This Row],[Profit]]/MT1_[[#This Row],[Total Sales]]</f>
        <v>0.23</v>
      </c>
    </row>
    <row r="542" spans="1:12" ht="15.6" x14ac:dyDescent="0.3">
      <c r="A542" s="15">
        <v>1542</v>
      </c>
      <c r="B542" s="14">
        <v>45351</v>
      </c>
      <c r="C542" s="18" t="s">
        <v>19</v>
      </c>
      <c r="D542" s="18" t="s">
        <v>12</v>
      </c>
      <c r="E542" s="18" t="s">
        <v>13</v>
      </c>
      <c r="F542" s="18" t="s">
        <v>14</v>
      </c>
      <c r="G542" s="15">
        <v>72</v>
      </c>
      <c r="H542" s="20">
        <v>700</v>
      </c>
      <c r="I542" s="21">
        <v>50400</v>
      </c>
      <c r="J542" s="21">
        <v>518</v>
      </c>
      <c r="K542" s="21">
        <v>13104</v>
      </c>
      <c r="L542" s="30">
        <f>MT1_[[#This Row],[Profit]]/MT1_[[#This Row],[Total Sales]]</f>
        <v>0.26</v>
      </c>
    </row>
    <row r="543" spans="1:12" ht="15.6" x14ac:dyDescent="0.3">
      <c r="A543" s="15">
        <v>1543</v>
      </c>
      <c r="B543" s="14">
        <v>45358</v>
      </c>
      <c r="C543" s="18" t="s">
        <v>15</v>
      </c>
      <c r="D543" s="18" t="s">
        <v>16</v>
      </c>
      <c r="E543" s="18" t="s">
        <v>28</v>
      </c>
      <c r="F543" s="18" t="s">
        <v>31</v>
      </c>
      <c r="G543" s="15">
        <v>91</v>
      </c>
      <c r="H543" s="20">
        <v>700</v>
      </c>
      <c r="I543" s="21">
        <v>63700</v>
      </c>
      <c r="J543" s="21">
        <v>560</v>
      </c>
      <c r="K543" s="21">
        <v>12740</v>
      </c>
      <c r="L543" s="30">
        <f>MT1_[[#This Row],[Profit]]/MT1_[[#This Row],[Total Sales]]</f>
        <v>0.2</v>
      </c>
    </row>
    <row r="544" spans="1:12" ht="15.6" x14ac:dyDescent="0.3">
      <c r="A544" s="15">
        <v>1544</v>
      </c>
      <c r="B544" s="14">
        <v>45342</v>
      </c>
      <c r="C544" s="18" t="s">
        <v>19</v>
      </c>
      <c r="D544" s="18" t="s">
        <v>34</v>
      </c>
      <c r="E544" s="18" t="s">
        <v>25</v>
      </c>
      <c r="F544" s="18" t="s">
        <v>27</v>
      </c>
      <c r="G544" s="15">
        <v>41</v>
      </c>
      <c r="H544" s="20">
        <v>300</v>
      </c>
      <c r="I544" s="21">
        <v>12300</v>
      </c>
      <c r="J544" s="21">
        <v>264</v>
      </c>
      <c r="K544" s="21">
        <v>1476</v>
      </c>
      <c r="L544" s="30">
        <f>MT1_[[#This Row],[Profit]]/MT1_[[#This Row],[Total Sales]]</f>
        <v>0.12</v>
      </c>
    </row>
    <row r="545" spans="1:12" ht="15.6" x14ac:dyDescent="0.3">
      <c r="A545" s="15">
        <v>1545</v>
      </c>
      <c r="B545" s="14">
        <v>45375</v>
      </c>
      <c r="C545" s="18" t="s">
        <v>19</v>
      </c>
      <c r="D545" s="18" t="s">
        <v>34</v>
      </c>
      <c r="E545" s="18" t="s">
        <v>13</v>
      </c>
      <c r="F545" s="18" t="s">
        <v>14</v>
      </c>
      <c r="G545" s="15">
        <v>72</v>
      </c>
      <c r="H545" s="20">
        <v>15000</v>
      </c>
      <c r="I545" s="21">
        <v>1080000</v>
      </c>
      <c r="J545" s="21">
        <v>13350</v>
      </c>
      <c r="K545" s="21">
        <v>118800</v>
      </c>
      <c r="L545" s="30">
        <f>MT1_[[#This Row],[Profit]]/MT1_[[#This Row],[Total Sales]]</f>
        <v>0.11</v>
      </c>
    </row>
    <row r="546" spans="1:12" ht="15.6" x14ac:dyDescent="0.3">
      <c r="A546" s="15">
        <v>1546</v>
      </c>
      <c r="B546" s="14">
        <v>45298</v>
      </c>
      <c r="C546" s="18" t="s">
        <v>19</v>
      </c>
      <c r="D546" s="18" t="s">
        <v>33</v>
      </c>
      <c r="E546" s="18" t="s">
        <v>13</v>
      </c>
      <c r="F546" s="18" t="s">
        <v>35</v>
      </c>
      <c r="G546" s="15">
        <v>50</v>
      </c>
      <c r="H546" s="20">
        <v>15000</v>
      </c>
      <c r="I546" s="21">
        <v>750000</v>
      </c>
      <c r="J546" s="21">
        <v>10950</v>
      </c>
      <c r="K546" s="21">
        <v>202500</v>
      </c>
      <c r="L546" s="30">
        <f>MT1_[[#This Row],[Profit]]/MT1_[[#This Row],[Total Sales]]</f>
        <v>0.27</v>
      </c>
    </row>
    <row r="547" spans="1:12" ht="15.6" x14ac:dyDescent="0.3">
      <c r="A547" s="15">
        <v>1547</v>
      </c>
      <c r="B547" s="14">
        <v>45382</v>
      </c>
      <c r="C547" s="18" t="s">
        <v>21</v>
      </c>
      <c r="D547" s="18" t="s">
        <v>33</v>
      </c>
      <c r="E547" s="18" t="s">
        <v>30</v>
      </c>
      <c r="F547" s="18" t="s">
        <v>23</v>
      </c>
      <c r="G547" s="15">
        <v>97</v>
      </c>
      <c r="H547" s="20">
        <v>250</v>
      </c>
      <c r="I547" s="21">
        <v>24250</v>
      </c>
      <c r="J547" s="21">
        <v>200</v>
      </c>
      <c r="K547" s="21">
        <v>4850</v>
      </c>
      <c r="L547" s="30">
        <f>MT1_[[#This Row],[Profit]]/MT1_[[#This Row],[Total Sales]]</f>
        <v>0.2</v>
      </c>
    </row>
    <row r="548" spans="1:12" ht="15.6" x14ac:dyDescent="0.3">
      <c r="A548" s="15">
        <v>1548</v>
      </c>
      <c r="B548" s="14">
        <v>45364</v>
      </c>
      <c r="C548" s="18" t="s">
        <v>21</v>
      </c>
      <c r="D548" s="18" t="s">
        <v>16</v>
      </c>
      <c r="E548" s="18" t="s">
        <v>25</v>
      </c>
      <c r="F548" s="18" t="s">
        <v>35</v>
      </c>
      <c r="G548" s="15">
        <v>80</v>
      </c>
      <c r="H548" s="20">
        <v>50</v>
      </c>
      <c r="I548" s="21">
        <v>4000</v>
      </c>
      <c r="J548" s="21">
        <v>38</v>
      </c>
      <c r="K548" s="21">
        <v>960</v>
      </c>
      <c r="L548" s="30">
        <f>MT1_[[#This Row],[Profit]]/MT1_[[#This Row],[Total Sales]]</f>
        <v>0.24</v>
      </c>
    </row>
    <row r="549" spans="1:12" ht="15.6" x14ac:dyDescent="0.3">
      <c r="A549" s="15">
        <v>1549</v>
      </c>
      <c r="B549" s="14">
        <v>45321</v>
      </c>
      <c r="C549" s="18" t="s">
        <v>19</v>
      </c>
      <c r="D549" s="18" t="s">
        <v>12</v>
      </c>
      <c r="E549" s="18" t="s">
        <v>17</v>
      </c>
      <c r="F549" s="18" t="s">
        <v>35</v>
      </c>
      <c r="G549" s="15">
        <v>43</v>
      </c>
      <c r="H549" s="20">
        <v>150</v>
      </c>
      <c r="I549" s="21">
        <v>6450</v>
      </c>
      <c r="J549" s="21">
        <v>132</v>
      </c>
      <c r="K549" s="21">
        <v>774</v>
      </c>
      <c r="L549" s="30">
        <f>MT1_[[#This Row],[Profit]]/MT1_[[#This Row],[Total Sales]]</f>
        <v>0.12</v>
      </c>
    </row>
    <row r="550" spans="1:12" ht="15.6" x14ac:dyDescent="0.3">
      <c r="A550" s="15">
        <v>1550</v>
      </c>
      <c r="B550" s="14">
        <v>45302</v>
      </c>
      <c r="C550" s="18" t="s">
        <v>19</v>
      </c>
      <c r="D550" s="18" t="s">
        <v>16</v>
      </c>
      <c r="E550" s="18" t="s">
        <v>17</v>
      </c>
      <c r="F550" s="18" t="s">
        <v>23</v>
      </c>
      <c r="G550" s="15">
        <v>34</v>
      </c>
      <c r="H550" s="20">
        <v>150</v>
      </c>
      <c r="I550" s="21">
        <v>5100</v>
      </c>
      <c r="J550" s="21">
        <v>135</v>
      </c>
      <c r="K550" s="21">
        <v>510</v>
      </c>
      <c r="L550" s="30">
        <f>MT1_[[#This Row],[Profit]]/MT1_[[#This Row],[Total Sales]]</f>
        <v>0.1</v>
      </c>
    </row>
    <row r="551" spans="1:12" ht="15.6" x14ac:dyDescent="0.3">
      <c r="A551" s="15">
        <v>1551</v>
      </c>
      <c r="B551" s="14">
        <v>45319</v>
      </c>
      <c r="C551" s="18" t="s">
        <v>11</v>
      </c>
      <c r="D551" s="18" t="s">
        <v>16</v>
      </c>
      <c r="E551" s="18" t="s">
        <v>25</v>
      </c>
      <c r="F551" s="18" t="s">
        <v>27</v>
      </c>
      <c r="G551" s="15">
        <v>40</v>
      </c>
      <c r="H551" s="20">
        <v>15000</v>
      </c>
      <c r="I551" s="21">
        <v>600000</v>
      </c>
      <c r="J551" s="21">
        <v>10800</v>
      </c>
      <c r="K551" s="21">
        <v>168000</v>
      </c>
      <c r="L551" s="30">
        <f>MT1_[[#This Row],[Profit]]/MT1_[[#This Row],[Total Sales]]</f>
        <v>0.28000000000000003</v>
      </c>
    </row>
    <row r="552" spans="1:12" ht="15.6" x14ac:dyDescent="0.3">
      <c r="A552" s="15">
        <v>1552</v>
      </c>
      <c r="B552" s="14">
        <v>45366</v>
      </c>
      <c r="C552" s="18" t="s">
        <v>21</v>
      </c>
      <c r="D552" s="18" t="s">
        <v>32</v>
      </c>
      <c r="E552" s="18" t="s">
        <v>30</v>
      </c>
      <c r="F552" s="18" t="s">
        <v>18</v>
      </c>
      <c r="G552" s="15">
        <v>72</v>
      </c>
      <c r="H552" s="20">
        <v>50</v>
      </c>
      <c r="I552" s="21">
        <v>3600</v>
      </c>
      <c r="J552" s="21">
        <v>35.5</v>
      </c>
      <c r="K552" s="21">
        <v>1044</v>
      </c>
      <c r="L552" s="30">
        <f>MT1_[[#This Row],[Profit]]/MT1_[[#This Row],[Total Sales]]</f>
        <v>0.28999999999999998</v>
      </c>
    </row>
    <row r="553" spans="1:12" ht="15.6" x14ac:dyDescent="0.3">
      <c r="A553" s="15">
        <v>1553</v>
      </c>
      <c r="B553" s="14">
        <v>45325</v>
      </c>
      <c r="C553" s="18" t="s">
        <v>20</v>
      </c>
      <c r="D553" s="18" t="s">
        <v>33</v>
      </c>
      <c r="E553" s="18" t="s">
        <v>30</v>
      </c>
      <c r="F553" s="18" t="s">
        <v>27</v>
      </c>
      <c r="G553" s="15">
        <v>76</v>
      </c>
      <c r="H553" s="20">
        <v>50</v>
      </c>
      <c r="I553" s="21">
        <v>3800</v>
      </c>
      <c r="J553" s="21">
        <v>45</v>
      </c>
      <c r="K553" s="21">
        <v>380</v>
      </c>
      <c r="L553" s="30">
        <f>MT1_[[#This Row],[Profit]]/MT1_[[#This Row],[Total Sales]]</f>
        <v>0.1</v>
      </c>
    </row>
    <row r="554" spans="1:12" ht="15.6" x14ac:dyDescent="0.3">
      <c r="A554" s="15">
        <v>1554</v>
      </c>
      <c r="B554" s="14">
        <v>45340</v>
      </c>
      <c r="C554" s="18" t="s">
        <v>21</v>
      </c>
      <c r="D554" s="18" t="s">
        <v>34</v>
      </c>
      <c r="E554" s="18" t="s">
        <v>17</v>
      </c>
      <c r="F554" s="18" t="s">
        <v>23</v>
      </c>
      <c r="G554" s="15">
        <v>75</v>
      </c>
      <c r="H554" s="20">
        <v>250</v>
      </c>
      <c r="I554" s="21">
        <v>18750</v>
      </c>
      <c r="J554" s="21">
        <v>205</v>
      </c>
      <c r="K554" s="21">
        <v>3375</v>
      </c>
      <c r="L554" s="30">
        <f>MT1_[[#This Row],[Profit]]/MT1_[[#This Row],[Total Sales]]</f>
        <v>0.18</v>
      </c>
    </row>
    <row r="555" spans="1:12" ht="15.6" x14ac:dyDescent="0.3">
      <c r="A555" s="15">
        <v>1555</v>
      </c>
      <c r="B555" s="14">
        <v>45299</v>
      </c>
      <c r="C555" s="18" t="s">
        <v>11</v>
      </c>
      <c r="D555" s="18" t="s">
        <v>34</v>
      </c>
      <c r="E555" s="18" t="s">
        <v>30</v>
      </c>
      <c r="F555" s="18" t="s">
        <v>14</v>
      </c>
      <c r="G555" s="15">
        <v>34</v>
      </c>
      <c r="H555" s="20">
        <v>300</v>
      </c>
      <c r="I555" s="21">
        <v>10200</v>
      </c>
      <c r="J555" s="21">
        <v>255</v>
      </c>
      <c r="K555" s="21">
        <v>1530</v>
      </c>
      <c r="L555" s="30">
        <f>MT1_[[#This Row],[Profit]]/MT1_[[#This Row],[Total Sales]]</f>
        <v>0.15</v>
      </c>
    </row>
    <row r="556" spans="1:12" ht="15.6" x14ac:dyDescent="0.3">
      <c r="A556" s="15">
        <v>1556</v>
      </c>
      <c r="B556" s="14">
        <v>45348</v>
      </c>
      <c r="C556" s="18" t="s">
        <v>11</v>
      </c>
      <c r="D556" s="18" t="s">
        <v>32</v>
      </c>
      <c r="E556" s="18" t="s">
        <v>17</v>
      </c>
      <c r="F556" s="18" t="s">
        <v>35</v>
      </c>
      <c r="G556" s="15">
        <v>11</v>
      </c>
      <c r="H556" s="20">
        <v>1200</v>
      </c>
      <c r="I556" s="21">
        <v>13200</v>
      </c>
      <c r="J556" s="21">
        <v>876</v>
      </c>
      <c r="K556" s="21">
        <v>3564</v>
      </c>
      <c r="L556" s="30">
        <f>MT1_[[#This Row],[Profit]]/MT1_[[#This Row],[Total Sales]]</f>
        <v>0.27</v>
      </c>
    </row>
    <row r="557" spans="1:12" ht="15.6" x14ac:dyDescent="0.3">
      <c r="A557" s="15">
        <v>1557</v>
      </c>
      <c r="B557" s="14">
        <v>45344</v>
      </c>
      <c r="C557" s="18" t="s">
        <v>15</v>
      </c>
      <c r="D557" s="18" t="s">
        <v>33</v>
      </c>
      <c r="E557" s="18" t="s">
        <v>17</v>
      </c>
      <c r="F557" s="18" t="s">
        <v>23</v>
      </c>
      <c r="G557" s="15">
        <v>14</v>
      </c>
      <c r="H557" s="20">
        <v>300</v>
      </c>
      <c r="I557" s="21">
        <v>4200</v>
      </c>
      <c r="J557" s="21">
        <v>213</v>
      </c>
      <c r="K557" s="21">
        <v>1218</v>
      </c>
      <c r="L557" s="30">
        <f>MT1_[[#This Row],[Profit]]/MT1_[[#This Row],[Total Sales]]</f>
        <v>0.28999999999999998</v>
      </c>
    </row>
    <row r="558" spans="1:12" ht="15.6" x14ac:dyDescent="0.3">
      <c r="A558" s="15">
        <v>1558</v>
      </c>
      <c r="B558" s="14">
        <v>45319</v>
      </c>
      <c r="C558" s="18" t="s">
        <v>15</v>
      </c>
      <c r="D558" s="18" t="s">
        <v>32</v>
      </c>
      <c r="E558" s="18" t="s">
        <v>28</v>
      </c>
      <c r="F558" s="18" t="s">
        <v>14</v>
      </c>
      <c r="G558" s="15">
        <v>64</v>
      </c>
      <c r="H558" s="20">
        <v>700</v>
      </c>
      <c r="I558" s="21">
        <v>44800</v>
      </c>
      <c r="J558" s="21">
        <v>504</v>
      </c>
      <c r="K558" s="21">
        <v>12544</v>
      </c>
      <c r="L558" s="30">
        <f>MT1_[[#This Row],[Profit]]/MT1_[[#This Row],[Total Sales]]</f>
        <v>0.28000000000000003</v>
      </c>
    </row>
    <row r="559" spans="1:12" ht="15.6" x14ac:dyDescent="0.3">
      <c r="A559" s="15">
        <v>1559</v>
      </c>
      <c r="B559" s="14">
        <v>45352</v>
      </c>
      <c r="C559" s="18" t="s">
        <v>11</v>
      </c>
      <c r="D559" s="18" t="s">
        <v>12</v>
      </c>
      <c r="E559" s="18" t="s">
        <v>17</v>
      </c>
      <c r="F559" s="18" t="s">
        <v>18</v>
      </c>
      <c r="G559" s="15">
        <v>20</v>
      </c>
      <c r="H559" s="20">
        <v>700</v>
      </c>
      <c r="I559" s="21">
        <v>14000</v>
      </c>
      <c r="J559" s="21">
        <v>609</v>
      </c>
      <c r="K559" s="21">
        <v>1820</v>
      </c>
      <c r="L559" s="30">
        <f>MT1_[[#This Row],[Profit]]/MT1_[[#This Row],[Total Sales]]</f>
        <v>0.13</v>
      </c>
    </row>
    <row r="560" spans="1:12" ht="15.6" x14ac:dyDescent="0.3">
      <c r="A560" s="15">
        <v>1560</v>
      </c>
      <c r="B560" s="14">
        <v>45319</v>
      </c>
      <c r="C560" s="18" t="s">
        <v>15</v>
      </c>
      <c r="D560" s="18" t="s">
        <v>16</v>
      </c>
      <c r="E560" s="18" t="s">
        <v>25</v>
      </c>
      <c r="F560" s="18" t="s">
        <v>24</v>
      </c>
      <c r="G560" s="15">
        <v>27</v>
      </c>
      <c r="H560" s="20">
        <v>250</v>
      </c>
      <c r="I560" s="21">
        <v>6750</v>
      </c>
      <c r="J560" s="21">
        <v>205</v>
      </c>
      <c r="K560" s="21">
        <v>1215</v>
      </c>
      <c r="L560" s="30">
        <f>MT1_[[#This Row],[Profit]]/MT1_[[#This Row],[Total Sales]]</f>
        <v>0.18</v>
      </c>
    </row>
    <row r="561" spans="1:12" ht="15.6" x14ac:dyDescent="0.3">
      <c r="A561" s="15">
        <v>1561</v>
      </c>
      <c r="B561" s="14">
        <v>45377</v>
      </c>
      <c r="C561" s="18" t="s">
        <v>11</v>
      </c>
      <c r="D561" s="18" t="s">
        <v>12</v>
      </c>
      <c r="E561" s="18" t="s">
        <v>25</v>
      </c>
      <c r="F561" s="18" t="s">
        <v>23</v>
      </c>
      <c r="G561" s="15">
        <v>85</v>
      </c>
      <c r="H561" s="20">
        <v>500</v>
      </c>
      <c r="I561" s="21">
        <v>42500</v>
      </c>
      <c r="J561" s="21">
        <v>410</v>
      </c>
      <c r="K561" s="21">
        <v>7650</v>
      </c>
      <c r="L561" s="30">
        <f>MT1_[[#This Row],[Profit]]/MT1_[[#This Row],[Total Sales]]</f>
        <v>0.18</v>
      </c>
    </row>
    <row r="562" spans="1:12" ht="15.6" x14ac:dyDescent="0.3">
      <c r="A562" s="15">
        <v>1562</v>
      </c>
      <c r="B562" s="14">
        <v>45349</v>
      </c>
      <c r="C562" s="18" t="s">
        <v>11</v>
      </c>
      <c r="D562" s="18" t="s">
        <v>34</v>
      </c>
      <c r="E562" s="18" t="s">
        <v>13</v>
      </c>
      <c r="F562" s="18" t="s">
        <v>36</v>
      </c>
      <c r="G562" s="15">
        <v>2</v>
      </c>
      <c r="H562" s="20">
        <v>500</v>
      </c>
      <c r="I562" s="21">
        <v>1000</v>
      </c>
      <c r="J562" s="21">
        <v>360</v>
      </c>
      <c r="K562" s="21">
        <v>280</v>
      </c>
      <c r="L562" s="30">
        <f>MT1_[[#This Row],[Profit]]/MT1_[[#This Row],[Total Sales]]</f>
        <v>0.28000000000000003</v>
      </c>
    </row>
    <row r="563" spans="1:12" ht="15.6" x14ac:dyDescent="0.3">
      <c r="A563" s="15">
        <v>1563</v>
      </c>
      <c r="B563" s="14">
        <v>45331</v>
      </c>
      <c r="C563" s="18" t="s">
        <v>20</v>
      </c>
      <c r="D563" s="18" t="s">
        <v>33</v>
      </c>
      <c r="E563" s="18" t="s">
        <v>17</v>
      </c>
      <c r="F563" s="18" t="s">
        <v>36</v>
      </c>
      <c r="G563" s="15">
        <v>77</v>
      </c>
      <c r="H563" s="20">
        <v>500</v>
      </c>
      <c r="I563" s="21">
        <v>38500</v>
      </c>
      <c r="J563" s="21">
        <v>425</v>
      </c>
      <c r="K563" s="21">
        <v>5775</v>
      </c>
      <c r="L563" s="30">
        <f>MT1_[[#This Row],[Profit]]/MT1_[[#This Row],[Total Sales]]</f>
        <v>0.15</v>
      </c>
    </row>
    <row r="564" spans="1:12" ht="15.6" x14ac:dyDescent="0.3">
      <c r="A564" s="15">
        <v>1564</v>
      </c>
      <c r="B564" s="14">
        <v>45294</v>
      </c>
      <c r="C564" s="18" t="s">
        <v>15</v>
      </c>
      <c r="D564" s="18" t="s">
        <v>33</v>
      </c>
      <c r="E564" s="18" t="s">
        <v>25</v>
      </c>
      <c r="F564" s="18" t="s">
        <v>18</v>
      </c>
      <c r="G564" s="15">
        <v>88</v>
      </c>
      <c r="H564" s="20">
        <v>1200</v>
      </c>
      <c r="I564" s="21">
        <v>105600</v>
      </c>
      <c r="J564" s="21">
        <v>936</v>
      </c>
      <c r="K564" s="21">
        <v>23232</v>
      </c>
      <c r="L564" s="30">
        <f>MT1_[[#This Row],[Profit]]/MT1_[[#This Row],[Total Sales]]</f>
        <v>0.22</v>
      </c>
    </row>
    <row r="565" spans="1:12" ht="15.6" x14ac:dyDescent="0.3">
      <c r="A565" s="15">
        <v>1565</v>
      </c>
      <c r="B565" s="14">
        <v>45337</v>
      </c>
      <c r="C565" s="18" t="s">
        <v>15</v>
      </c>
      <c r="D565" s="18" t="s">
        <v>34</v>
      </c>
      <c r="E565" s="18" t="s">
        <v>30</v>
      </c>
      <c r="F565" s="18" t="s">
        <v>35</v>
      </c>
      <c r="G565" s="15">
        <v>44</v>
      </c>
      <c r="H565" s="20">
        <v>30000</v>
      </c>
      <c r="I565" s="21">
        <v>1320000</v>
      </c>
      <c r="J565" s="21">
        <v>24300</v>
      </c>
      <c r="K565" s="21">
        <v>250800</v>
      </c>
      <c r="L565" s="30">
        <f>MT1_[[#This Row],[Profit]]/MT1_[[#This Row],[Total Sales]]</f>
        <v>0.19</v>
      </c>
    </row>
    <row r="566" spans="1:12" ht="15.6" x14ac:dyDescent="0.3">
      <c r="A566" s="15">
        <v>1566</v>
      </c>
      <c r="B566" s="14">
        <v>45357</v>
      </c>
      <c r="C566" s="18" t="s">
        <v>15</v>
      </c>
      <c r="D566" s="18" t="s">
        <v>12</v>
      </c>
      <c r="E566" s="18" t="s">
        <v>25</v>
      </c>
      <c r="F566" s="18" t="s">
        <v>36</v>
      </c>
      <c r="G566" s="15">
        <v>77</v>
      </c>
      <c r="H566" s="20">
        <v>300</v>
      </c>
      <c r="I566" s="21">
        <v>23100</v>
      </c>
      <c r="J566" s="21">
        <v>237</v>
      </c>
      <c r="K566" s="21">
        <v>4851</v>
      </c>
      <c r="L566" s="30">
        <f>MT1_[[#This Row],[Profit]]/MT1_[[#This Row],[Total Sales]]</f>
        <v>0.21</v>
      </c>
    </row>
    <row r="567" spans="1:12" ht="15.6" x14ac:dyDescent="0.3">
      <c r="A567" s="15">
        <v>1567</v>
      </c>
      <c r="B567" s="14">
        <v>45327</v>
      </c>
      <c r="C567" s="18" t="s">
        <v>15</v>
      </c>
      <c r="D567" s="18" t="s">
        <v>33</v>
      </c>
      <c r="E567" s="18" t="s">
        <v>30</v>
      </c>
      <c r="F567" s="18" t="s">
        <v>18</v>
      </c>
      <c r="G567" s="15">
        <v>88</v>
      </c>
      <c r="H567" s="20">
        <v>500</v>
      </c>
      <c r="I567" s="21">
        <v>44000</v>
      </c>
      <c r="J567" s="21">
        <v>370</v>
      </c>
      <c r="K567" s="21">
        <v>11440</v>
      </c>
      <c r="L567" s="30">
        <f>MT1_[[#This Row],[Profit]]/MT1_[[#This Row],[Total Sales]]</f>
        <v>0.26</v>
      </c>
    </row>
    <row r="568" spans="1:12" ht="15.6" x14ac:dyDescent="0.3">
      <c r="A568" s="15">
        <v>1568</v>
      </c>
      <c r="B568" s="14">
        <v>45327</v>
      </c>
      <c r="C568" s="18" t="s">
        <v>19</v>
      </c>
      <c r="D568" s="18" t="s">
        <v>16</v>
      </c>
      <c r="E568" s="18" t="s">
        <v>30</v>
      </c>
      <c r="F568" s="18" t="s">
        <v>18</v>
      </c>
      <c r="G568" s="15">
        <v>20</v>
      </c>
      <c r="H568" s="20">
        <v>300</v>
      </c>
      <c r="I568" s="21">
        <v>6000</v>
      </c>
      <c r="J568" s="21">
        <v>213</v>
      </c>
      <c r="K568" s="21">
        <v>1740</v>
      </c>
      <c r="L568" s="30">
        <f>MT1_[[#This Row],[Profit]]/MT1_[[#This Row],[Total Sales]]</f>
        <v>0.28999999999999998</v>
      </c>
    </row>
    <row r="569" spans="1:12" ht="15.6" x14ac:dyDescent="0.3">
      <c r="A569" s="15">
        <v>1569</v>
      </c>
      <c r="B569" s="14">
        <v>45368</v>
      </c>
      <c r="C569" s="18" t="s">
        <v>11</v>
      </c>
      <c r="D569" s="18" t="s">
        <v>33</v>
      </c>
      <c r="E569" s="18" t="s">
        <v>17</v>
      </c>
      <c r="F569" s="18" t="s">
        <v>27</v>
      </c>
      <c r="G569" s="15">
        <v>6</v>
      </c>
      <c r="H569" s="20">
        <v>500</v>
      </c>
      <c r="I569" s="21">
        <v>3000</v>
      </c>
      <c r="J569" s="21">
        <v>435</v>
      </c>
      <c r="K569" s="21">
        <v>390</v>
      </c>
      <c r="L569" s="30">
        <f>MT1_[[#This Row],[Profit]]/MT1_[[#This Row],[Total Sales]]</f>
        <v>0.13</v>
      </c>
    </row>
    <row r="570" spans="1:12" ht="15.6" x14ac:dyDescent="0.3">
      <c r="A570" s="15">
        <v>1570</v>
      </c>
      <c r="B570" s="14">
        <v>45324</v>
      </c>
      <c r="C570" s="18" t="s">
        <v>15</v>
      </c>
      <c r="D570" s="18" t="s">
        <v>33</v>
      </c>
      <c r="E570" s="18" t="s">
        <v>25</v>
      </c>
      <c r="F570" s="18" t="s">
        <v>31</v>
      </c>
      <c r="G570" s="15">
        <v>62</v>
      </c>
      <c r="H570" s="20">
        <v>500</v>
      </c>
      <c r="I570" s="21">
        <v>31000</v>
      </c>
      <c r="J570" s="21">
        <v>400</v>
      </c>
      <c r="K570" s="21">
        <v>6200</v>
      </c>
      <c r="L570" s="30">
        <f>MT1_[[#This Row],[Profit]]/MT1_[[#This Row],[Total Sales]]</f>
        <v>0.2</v>
      </c>
    </row>
    <row r="571" spans="1:12" ht="15.6" x14ac:dyDescent="0.3">
      <c r="A571" s="15">
        <v>1571</v>
      </c>
      <c r="B571" s="14">
        <v>45292</v>
      </c>
      <c r="C571" s="18" t="s">
        <v>11</v>
      </c>
      <c r="D571" s="18" t="s">
        <v>12</v>
      </c>
      <c r="E571" s="18" t="s">
        <v>17</v>
      </c>
      <c r="F571" s="18" t="s">
        <v>31</v>
      </c>
      <c r="G571" s="15">
        <v>43</v>
      </c>
      <c r="H571" s="20">
        <v>700</v>
      </c>
      <c r="I571" s="21">
        <v>30100</v>
      </c>
      <c r="J571" s="21">
        <v>518</v>
      </c>
      <c r="K571" s="21">
        <v>7826</v>
      </c>
      <c r="L571" s="30">
        <f>MT1_[[#This Row],[Profit]]/MT1_[[#This Row],[Total Sales]]</f>
        <v>0.26</v>
      </c>
    </row>
    <row r="572" spans="1:12" ht="15.6" x14ac:dyDescent="0.3">
      <c r="A572" s="15">
        <v>1572</v>
      </c>
      <c r="B572" s="14">
        <v>45335</v>
      </c>
      <c r="C572" s="18" t="s">
        <v>11</v>
      </c>
      <c r="D572" s="18" t="s">
        <v>12</v>
      </c>
      <c r="E572" s="18" t="s">
        <v>25</v>
      </c>
      <c r="F572" s="18" t="s">
        <v>35</v>
      </c>
      <c r="G572" s="15">
        <v>5</v>
      </c>
      <c r="H572" s="20">
        <v>30000</v>
      </c>
      <c r="I572" s="21">
        <v>150000</v>
      </c>
      <c r="J572" s="21">
        <v>22500</v>
      </c>
      <c r="K572" s="21">
        <v>37500</v>
      </c>
      <c r="L572" s="30">
        <f>MT1_[[#This Row],[Profit]]/MT1_[[#This Row],[Total Sales]]</f>
        <v>0.25</v>
      </c>
    </row>
    <row r="573" spans="1:12" ht="15.6" x14ac:dyDescent="0.3">
      <c r="A573" s="15">
        <v>1573</v>
      </c>
      <c r="B573" s="14">
        <v>45294</v>
      </c>
      <c r="C573" s="18" t="s">
        <v>21</v>
      </c>
      <c r="D573" s="18" t="s">
        <v>32</v>
      </c>
      <c r="E573" s="18" t="s">
        <v>30</v>
      </c>
      <c r="F573" s="18" t="s">
        <v>36</v>
      </c>
      <c r="G573" s="15">
        <v>93</v>
      </c>
      <c r="H573" s="20">
        <v>15000</v>
      </c>
      <c r="I573" s="21">
        <v>1395000</v>
      </c>
      <c r="J573" s="21">
        <v>10650</v>
      </c>
      <c r="K573" s="21">
        <v>404550</v>
      </c>
      <c r="L573" s="30">
        <f>MT1_[[#This Row],[Profit]]/MT1_[[#This Row],[Total Sales]]</f>
        <v>0.28999999999999998</v>
      </c>
    </row>
    <row r="574" spans="1:12" ht="15.6" x14ac:dyDescent="0.3">
      <c r="A574" s="15">
        <v>1574</v>
      </c>
      <c r="B574" s="14">
        <v>45332</v>
      </c>
      <c r="C574" s="18" t="s">
        <v>21</v>
      </c>
      <c r="D574" s="18" t="s">
        <v>34</v>
      </c>
      <c r="E574" s="18" t="s">
        <v>25</v>
      </c>
      <c r="F574" s="18" t="s">
        <v>23</v>
      </c>
      <c r="G574" s="15">
        <v>94</v>
      </c>
      <c r="H574" s="20">
        <v>150</v>
      </c>
      <c r="I574" s="21">
        <v>14100</v>
      </c>
      <c r="J574" s="21">
        <v>118.5</v>
      </c>
      <c r="K574" s="21">
        <v>2961</v>
      </c>
      <c r="L574" s="30">
        <f>MT1_[[#This Row],[Profit]]/MT1_[[#This Row],[Total Sales]]</f>
        <v>0.21</v>
      </c>
    </row>
    <row r="575" spans="1:12" ht="15.6" x14ac:dyDescent="0.3">
      <c r="A575" s="15">
        <v>1575</v>
      </c>
      <c r="B575" s="14">
        <v>45349</v>
      </c>
      <c r="C575" s="18" t="s">
        <v>15</v>
      </c>
      <c r="D575" s="18" t="s">
        <v>12</v>
      </c>
      <c r="E575" s="18" t="s">
        <v>30</v>
      </c>
      <c r="F575" s="18" t="s">
        <v>35</v>
      </c>
      <c r="G575" s="15">
        <v>41</v>
      </c>
      <c r="H575" s="20">
        <v>250</v>
      </c>
      <c r="I575" s="21">
        <v>10250</v>
      </c>
      <c r="J575" s="21">
        <v>215</v>
      </c>
      <c r="K575" s="21">
        <v>1435</v>
      </c>
      <c r="L575" s="30">
        <f>MT1_[[#This Row],[Profit]]/MT1_[[#This Row],[Total Sales]]</f>
        <v>0.14000000000000001</v>
      </c>
    </row>
    <row r="576" spans="1:12" ht="15.6" x14ac:dyDescent="0.3">
      <c r="A576" s="15">
        <v>1576</v>
      </c>
      <c r="B576" s="14">
        <v>45308</v>
      </c>
      <c r="C576" s="18" t="s">
        <v>11</v>
      </c>
      <c r="D576" s="18" t="s">
        <v>16</v>
      </c>
      <c r="E576" s="18" t="s">
        <v>30</v>
      </c>
      <c r="F576" s="18" t="s">
        <v>31</v>
      </c>
      <c r="G576" s="15">
        <v>93</v>
      </c>
      <c r="H576" s="20">
        <v>1200</v>
      </c>
      <c r="I576" s="21">
        <v>111600</v>
      </c>
      <c r="J576" s="21">
        <v>912</v>
      </c>
      <c r="K576" s="21">
        <v>26784</v>
      </c>
      <c r="L576" s="30">
        <f>MT1_[[#This Row],[Profit]]/MT1_[[#This Row],[Total Sales]]</f>
        <v>0.24</v>
      </c>
    </row>
    <row r="577" spans="1:12" ht="15.6" x14ac:dyDescent="0.3">
      <c r="A577" s="15">
        <v>1577</v>
      </c>
      <c r="B577" s="14">
        <v>45346</v>
      </c>
      <c r="C577" s="18" t="s">
        <v>11</v>
      </c>
      <c r="D577" s="18" t="s">
        <v>34</v>
      </c>
      <c r="E577" s="18" t="s">
        <v>28</v>
      </c>
      <c r="F577" s="18" t="s">
        <v>26</v>
      </c>
      <c r="G577" s="15">
        <v>47</v>
      </c>
      <c r="H577" s="20">
        <v>300</v>
      </c>
      <c r="I577" s="21">
        <v>14100</v>
      </c>
      <c r="J577" s="21">
        <v>252</v>
      </c>
      <c r="K577" s="21">
        <v>2256</v>
      </c>
      <c r="L577" s="30">
        <f>MT1_[[#This Row],[Profit]]/MT1_[[#This Row],[Total Sales]]</f>
        <v>0.16</v>
      </c>
    </row>
    <row r="578" spans="1:12" ht="15.6" x14ac:dyDescent="0.3">
      <c r="A578" s="15">
        <v>1578</v>
      </c>
      <c r="B578" s="14">
        <v>45382</v>
      </c>
      <c r="C578" s="18" t="s">
        <v>15</v>
      </c>
      <c r="D578" s="18" t="s">
        <v>33</v>
      </c>
      <c r="E578" s="18" t="s">
        <v>25</v>
      </c>
      <c r="F578" s="18" t="s">
        <v>35</v>
      </c>
      <c r="G578" s="15">
        <v>97</v>
      </c>
      <c r="H578" s="20">
        <v>500</v>
      </c>
      <c r="I578" s="21">
        <v>48500</v>
      </c>
      <c r="J578" s="21">
        <v>420</v>
      </c>
      <c r="K578" s="21">
        <v>7760</v>
      </c>
      <c r="L578" s="30">
        <f>MT1_[[#This Row],[Profit]]/MT1_[[#This Row],[Total Sales]]</f>
        <v>0.16</v>
      </c>
    </row>
    <row r="579" spans="1:12" ht="15.6" x14ac:dyDescent="0.3">
      <c r="A579" s="15">
        <v>1579</v>
      </c>
      <c r="B579" s="14">
        <v>45354</v>
      </c>
      <c r="C579" s="18" t="s">
        <v>19</v>
      </c>
      <c r="D579" s="18" t="s">
        <v>16</v>
      </c>
      <c r="E579" s="18" t="s">
        <v>25</v>
      </c>
      <c r="F579" s="18" t="s">
        <v>35</v>
      </c>
      <c r="G579" s="15">
        <v>20</v>
      </c>
      <c r="H579" s="20">
        <v>15000</v>
      </c>
      <c r="I579" s="21">
        <v>300000</v>
      </c>
      <c r="J579" s="21">
        <v>13050</v>
      </c>
      <c r="K579" s="21">
        <v>39000</v>
      </c>
      <c r="L579" s="30">
        <f>MT1_[[#This Row],[Profit]]/MT1_[[#This Row],[Total Sales]]</f>
        <v>0.13</v>
      </c>
    </row>
    <row r="580" spans="1:12" ht="15.6" x14ac:dyDescent="0.3">
      <c r="A580" s="15">
        <v>1580</v>
      </c>
      <c r="B580" s="14">
        <v>45378</v>
      </c>
      <c r="C580" s="18" t="s">
        <v>19</v>
      </c>
      <c r="D580" s="18" t="s">
        <v>12</v>
      </c>
      <c r="E580" s="18" t="s">
        <v>28</v>
      </c>
      <c r="F580" s="18" t="s">
        <v>31</v>
      </c>
      <c r="G580" s="15">
        <v>23</v>
      </c>
      <c r="H580" s="20">
        <v>900</v>
      </c>
      <c r="I580" s="21">
        <v>20700</v>
      </c>
      <c r="J580" s="21">
        <v>801</v>
      </c>
      <c r="K580" s="21">
        <v>2277</v>
      </c>
      <c r="L580" s="30">
        <f>MT1_[[#This Row],[Profit]]/MT1_[[#This Row],[Total Sales]]</f>
        <v>0.11</v>
      </c>
    </row>
    <row r="581" spans="1:12" ht="15.6" x14ac:dyDescent="0.3">
      <c r="A581" s="15">
        <v>1581</v>
      </c>
      <c r="B581" s="14">
        <v>45314</v>
      </c>
      <c r="C581" s="18" t="s">
        <v>19</v>
      </c>
      <c r="D581" s="18" t="s">
        <v>12</v>
      </c>
      <c r="E581" s="18" t="s">
        <v>13</v>
      </c>
      <c r="F581" s="18" t="s">
        <v>36</v>
      </c>
      <c r="G581" s="15">
        <v>83</v>
      </c>
      <c r="H581" s="20">
        <v>1200</v>
      </c>
      <c r="I581" s="21">
        <v>99600</v>
      </c>
      <c r="J581" s="21">
        <v>864</v>
      </c>
      <c r="K581" s="21">
        <v>27888</v>
      </c>
      <c r="L581" s="30">
        <f>MT1_[[#This Row],[Profit]]/MT1_[[#This Row],[Total Sales]]</f>
        <v>0.28000000000000003</v>
      </c>
    </row>
    <row r="582" spans="1:12" ht="15.6" x14ac:dyDescent="0.3">
      <c r="A582" s="15">
        <v>1582</v>
      </c>
      <c r="B582" s="14">
        <v>45302</v>
      </c>
      <c r="C582" s="18" t="s">
        <v>11</v>
      </c>
      <c r="D582" s="18" t="s">
        <v>32</v>
      </c>
      <c r="E582" s="18" t="s">
        <v>13</v>
      </c>
      <c r="F582" s="18" t="s">
        <v>18</v>
      </c>
      <c r="G582" s="15">
        <v>11</v>
      </c>
      <c r="H582" s="20">
        <v>700</v>
      </c>
      <c r="I582" s="21">
        <v>7700</v>
      </c>
      <c r="J582" s="21">
        <v>497</v>
      </c>
      <c r="K582" s="21">
        <v>2233</v>
      </c>
      <c r="L582" s="30">
        <f>MT1_[[#This Row],[Profit]]/MT1_[[#This Row],[Total Sales]]</f>
        <v>0.28999999999999998</v>
      </c>
    </row>
    <row r="583" spans="1:12" ht="15.6" x14ac:dyDescent="0.3">
      <c r="A583" s="15">
        <v>1583</v>
      </c>
      <c r="B583" s="14">
        <v>45302</v>
      </c>
      <c r="C583" s="18" t="s">
        <v>19</v>
      </c>
      <c r="D583" s="18" t="s">
        <v>32</v>
      </c>
      <c r="E583" s="18" t="s">
        <v>30</v>
      </c>
      <c r="F583" s="18" t="s">
        <v>24</v>
      </c>
      <c r="G583" s="15">
        <v>74</v>
      </c>
      <c r="H583" s="20">
        <v>250</v>
      </c>
      <c r="I583" s="21">
        <v>18500</v>
      </c>
      <c r="J583" s="21">
        <v>222.5</v>
      </c>
      <c r="K583" s="21">
        <v>2035</v>
      </c>
      <c r="L583" s="30">
        <f>MT1_[[#This Row],[Profit]]/MT1_[[#This Row],[Total Sales]]</f>
        <v>0.11</v>
      </c>
    </row>
    <row r="584" spans="1:12" ht="15.6" x14ac:dyDescent="0.3">
      <c r="A584" s="15">
        <v>1584</v>
      </c>
      <c r="B584" s="14">
        <v>45351</v>
      </c>
      <c r="C584" s="18" t="s">
        <v>11</v>
      </c>
      <c r="D584" s="18" t="s">
        <v>34</v>
      </c>
      <c r="E584" s="18" t="s">
        <v>28</v>
      </c>
      <c r="F584" s="18" t="s">
        <v>23</v>
      </c>
      <c r="G584" s="15">
        <v>97</v>
      </c>
      <c r="H584" s="20">
        <v>1200</v>
      </c>
      <c r="I584" s="21">
        <v>116400</v>
      </c>
      <c r="J584" s="21">
        <v>948</v>
      </c>
      <c r="K584" s="21">
        <v>24444</v>
      </c>
      <c r="L584" s="30">
        <f>MT1_[[#This Row],[Profit]]/MT1_[[#This Row],[Total Sales]]</f>
        <v>0.21</v>
      </c>
    </row>
    <row r="585" spans="1:12" ht="15.6" x14ac:dyDescent="0.3">
      <c r="A585" s="15">
        <v>1585</v>
      </c>
      <c r="B585" s="14">
        <v>45311</v>
      </c>
      <c r="C585" s="18" t="s">
        <v>11</v>
      </c>
      <c r="D585" s="18" t="s">
        <v>34</v>
      </c>
      <c r="E585" s="18" t="s">
        <v>17</v>
      </c>
      <c r="F585" s="18" t="s">
        <v>29</v>
      </c>
      <c r="G585" s="15">
        <v>55</v>
      </c>
      <c r="H585" s="20">
        <v>30000</v>
      </c>
      <c r="I585" s="21">
        <v>1650000</v>
      </c>
      <c r="J585" s="21">
        <v>23400</v>
      </c>
      <c r="K585" s="21">
        <v>363000</v>
      </c>
      <c r="L585" s="30">
        <f>MT1_[[#This Row],[Profit]]/MT1_[[#This Row],[Total Sales]]</f>
        <v>0.22</v>
      </c>
    </row>
    <row r="586" spans="1:12" ht="15.6" x14ac:dyDescent="0.3">
      <c r="A586" s="15">
        <v>1586</v>
      </c>
      <c r="B586" s="14">
        <v>45292</v>
      </c>
      <c r="C586" s="18" t="s">
        <v>21</v>
      </c>
      <c r="D586" s="18" t="s">
        <v>34</v>
      </c>
      <c r="E586" s="18" t="s">
        <v>17</v>
      </c>
      <c r="F586" s="18" t="s">
        <v>31</v>
      </c>
      <c r="G586" s="15">
        <v>10</v>
      </c>
      <c r="H586" s="20">
        <v>15000</v>
      </c>
      <c r="I586" s="21">
        <v>150000</v>
      </c>
      <c r="J586" s="21">
        <v>12300</v>
      </c>
      <c r="K586" s="21">
        <v>27000</v>
      </c>
      <c r="L586" s="30">
        <f>MT1_[[#This Row],[Profit]]/MT1_[[#This Row],[Total Sales]]</f>
        <v>0.18</v>
      </c>
    </row>
    <row r="587" spans="1:12" ht="15.6" x14ac:dyDescent="0.3">
      <c r="A587" s="15">
        <v>1587</v>
      </c>
      <c r="B587" s="14">
        <v>45348</v>
      </c>
      <c r="C587" s="18" t="s">
        <v>20</v>
      </c>
      <c r="D587" s="18" t="s">
        <v>16</v>
      </c>
      <c r="E587" s="18" t="s">
        <v>30</v>
      </c>
      <c r="F587" s="18" t="s">
        <v>31</v>
      </c>
      <c r="G587" s="15">
        <v>65</v>
      </c>
      <c r="H587" s="20">
        <v>700</v>
      </c>
      <c r="I587" s="21">
        <v>45500</v>
      </c>
      <c r="J587" s="21">
        <v>595</v>
      </c>
      <c r="K587" s="21">
        <v>6825</v>
      </c>
      <c r="L587" s="30">
        <f>MT1_[[#This Row],[Profit]]/MT1_[[#This Row],[Total Sales]]</f>
        <v>0.15</v>
      </c>
    </row>
    <row r="588" spans="1:12" ht="15.6" x14ac:dyDescent="0.3">
      <c r="A588" s="15">
        <v>1588</v>
      </c>
      <c r="B588" s="14">
        <v>45351</v>
      </c>
      <c r="C588" s="18" t="s">
        <v>11</v>
      </c>
      <c r="D588" s="18" t="s">
        <v>34</v>
      </c>
      <c r="E588" s="18" t="s">
        <v>25</v>
      </c>
      <c r="F588" s="18" t="s">
        <v>18</v>
      </c>
      <c r="G588" s="15">
        <v>6</v>
      </c>
      <c r="H588" s="20">
        <v>250</v>
      </c>
      <c r="I588" s="21">
        <v>1500</v>
      </c>
      <c r="J588" s="21">
        <v>222.5</v>
      </c>
      <c r="K588" s="21">
        <v>165</v>
      </c>
      <c r="L588" s="30">
        <f>MT1_[[#This Row],[Profit]]/MT1_[[#This Row],[Total Sales]]</f>
        <v>0.11</v>
      </c>
    </row>
    <row r="589" spans="1:12" ht="15.6" x14ac:dyDescent="0.3">
      <c r="A589" s="15">
        <v>1589</v>
      </c>
      <c r="B589" s="14">
        <v>45315</v>
      </c>
      <c r="C589" s="18" t="s">
        <v>21</v>
      </c>
      <c r="D589" s="18" t="s">
        <v>33</v>
      </c>
      <c r="E589" s="18" t="s">
        <v>13</v>
      </c>
      <c r="F589" s="18" t="s">
        <v>29</v>
      </c>
      <c r="G589" s="15">
        <v>4</v>
      </c>
      <c r="H589" s="20">
        <v>250</v>
      </c>
      <c r="I589" s="21">
        <v>1000</v>
      </c>
      <c r="J589" s="21">
        <v>197.5</v>
      </c>
      <c r="K589" s="21">
        <v>210</v>
      </c>
      <c r="L589" s="30">
        <f>MT1_[[#This Row],[Profit]]/MT1_[[#This Row],[Total Sales]]</f>
        <v>0.21</v>
      </c>
    </row>
    <row r="590" spans="1:12" ht="15.6" x14ac:dyDescent="0.3">
      <c r="A590" s="15">
        <v>1590</v>
      </c>
      <c r="B590" s="14">
        <v>45350</v>
      </c>
      <c r="C590" s="18" t="s">
        <v>11</v>
      </c>
      <c r="D590" s="18" t="s">
        <v>12</v>
      </c>
      <c r="E590" s="18" t="s">
        <v>30</v>
      </c>
      <c r="F590" s="18" t="s">
        <v>35</v>
      </c>
      <c r="G590" s="15">
        <v>62</v>
      </c>
      <c r="H590" s="20">
        <v>500</v>
      </c>
      <c r="I590" s="21">
        <v>31000</v>
      </c>
      <c r="J590" s="21">
        <v>450</v>
      </c>
      <c r="K590" s="21">
        <v>3100</v>
      </c>
      <c r="L590" s="30">
        <f>MT1_[[#This Row],[Profit]]/MT1_[[#This Row],[Total Sales]]</f>
        <v>0.1</v>
      </c>
    </row>
    <row r="591" spans="1:12" ht="15.6" x14ac:dyDescent="0.3">
      <c r="A591" s="15">
        <v>1591</v>
      </c>
      <c r="B591" s="14">
        <v>45348</v>
      </c>
      <c r="C591" s="18" t="s">
        <v>20</v>
      </c>
      <c r="D591" s="18" t="s">
        <v>32</v>
      </c>
      <c r="E591" s="18" t="s">
        <v>30</v>
      </c>
      <c r="F591" s="18" t="s">
        <v>27</v>
      </c>
      <c r="G591" s="15">
        <v>12</v>
      </c>
      <c r="H591" s="20">
        <v>30000</v>
      </c>
      <c r="I591" s="21">
        <v>360000</v>
      </c>
      <c r="J591" s="21">
        <v>25800</v>
      </c>
      <c r="K591" s="21">
        <v>50400</v>
      </c>
      <c r="L591" s="30">
        <f>MT1_[[#This Row],[Profit]]/MT1_[[#This Row],[Total Sales]]</f>
        <v>0.14000000000000001</v>
      </c>
    </row>
    <row r="592" spans="1:12" ht="15.6" x14ac:dyDescent="0.3">
      <c r="A592" s="15">
        <v>1591</v>
      </c>
      <c r="B592" s="14">
        <v>45324</v>
      </c>
      <c r="C592" s="18" t="s">
        <v>15</v>
      </c>
      <c r="D592" s="18" t="s">
        <v>33</v>
      </c>
      <c r="E592" s="18" t="s">
        <v>28</v>
      </c>
      <c r="F592" s="18" t="s">
        <v>26</v>
      </c>
      <c r="G592" s="15">
        <v>52</v>
      </c>
      <c r="H592" s="20">
        <v>15000</v>
      </c>
      <c r="I592" s="21">
        <v>780000</v>
      </c>
      <c r="J592" s="21">
        <v>10950</v>
      </c>
      <c r="K592" s="21">
        <v>210600</v>
      </c>
      <c r="L592" s="30">
        <f>MT1_[[#This Row],[Profit]]/MT1_[[#This Row],[Total Sales]]</f>
        <v>0.27</v>
      </c>
    </row>
    <row r="593" spans="1:12" ht="15.6" x14ac:dyDescent="0.3">
      <c r="A593" s="15">
        <v>1592</v>
      </c>
      <c r="B593" s="14">
        <v>45302</v>
      </c>
      <c r="C593" s="18" t="s">
        <v>15</v>
      </c>
      <c r="D593" s="18" t="s">
        <v>16</v>
      </c>
      <c r="E593" s="18" t="s">
        <v>17</v>
      </c>
      <c r="F593" s="18" t="s">
        <v>24</v>
      </c>
      <c r="G593" s="15">
        <v>10</v>
      </c>
      <c r="H593" s="20">
        <v>1200</v>
      </c>
      <c r="I593" s="21">
        <v>12000</v>
      </c>
      <c r="J593" s="21">
        <v>924</v>
      </c>
      <c r="K593" s="21">
        <v>2760</v>
      </c>
      <c r="L593" s="30">
        <f>MT1_[[#This Row],[Profit]]/MT1_[[#This Row],[Total Sales]]</f>
        <v>0.23</v>
      </c>
    </row>
    <row r="594" spans="1:12" ht="15.6" x14ac:dyDescent="0.3">
      <c r="A594" s="15">
        <v>1594</v>
      </c>
      <c r="B594" s="14">
        <v>45303</v>
      </c>
      <c r="C594" s="18" t="s">
        <v>21</v>
      </c>
      <c r="D594" s="18" t="s">
        <v>32</v>
      </c>
      <c r="E594" s="18" t="s">
        <v>30</v>
      </c>
      <c r="F594" s="18" t="s">
        <v>35</v>
      </c>
      <c r="G594" s="15">
        <v>22</v>
      </c>
      <c r="H594" s="20">
        <v>150</v>
      </c>
      <c r="I594" s="21">
        <v>3300</v>
      </c>
      <c r="J594" s="21">
        <v>130.5</v>
      </c>
      <c r="K594" s="21">
        <v>429</v>
      </c>
      <c r="L594" s="30">
        <f>MT1_[[#This Row],[Profit]]/MT1_[[#This Row],[Total Sales]]</f>
        <v>0.13</v>
      </c>
    </row>
    <row r="595" spans="1:12" ht="15.6" x14ac:dyDescent="0.3">
      <c r="A595" s="15">
        <v>1595</v>
      </c>
      <c r="B595" s="14">
        <v>45371</v>
      </c>
      <c r="C595" s="18" t="s">
        <v>11</v>
      </c>
      <c r="D595" s="18" t="s">
        <v>32</v>
      </c>
      <c r="E595" s="18" t="s">
        <v>30</v>
      </c>
      <c r="F595" s="18" t="s">
        <v>23</v>
      </c>
      <c r="G595" s="15">
        <v>9</v>
      </c>
      <c r="H595" s="20">
        <v>300</v>
      </c>
      <c r="I595" s="21">
        <v>2700</v>
      </c>
      <c r="J595" s="21">
        <v>258</v>
      </c>
      <c r="K595" s="21">
        <v>378</v>
      </c>
      <c r="L595" s="30">
        <f>MT1_[[#This Row],[Profit]]/MT1_[[#This Row],[Total Sales]]</f>
        <v>0.14000000000000001</v>
      </c>
    </row>
    <row r="596" spans="1:12" ht="15.6" x14ac:dyDescent="0.3">
      <c r="A596" s="15">
        <v>1596</v>
      </c>
      <c r="B596" s="14">
        <v>45352</v>
      </c>
      <c r="C596" s="18" t="s">
        <v>11</v>
      </c>
      <c r="D596" s="18" t="s">
        <v>34</v>
      </c>
      <c r="E596" s="18" t="s">
        <v>17</v>
      </c>
      <c r="F596" s="18" t="s">
        <v>27</v>
      </c>
      <c r="G596" s="15">
        <v>27</v>
      </c>
      <c r="H596" s="20">
        <v>150</v>
      </c>
      <c r="I596" s="21">
        <v>4050</v>
      </c>
      <c r="J596" s="21">
        <v>109.5</v>
      </c>
      <c r="K596" s="21">
        <v>1093.5</v>
      </c>
      <c r="L596" s="30">
        <f>MT1_[[#This Row],[Profit]]/MT1_[[#This Row],[Total Sales]]</f>
        <v>0.27</v>
      </c>
    </row>
    <row r="597" spans="1:12" ht="15.6" x14ac:dyDescent="0.3">
      <c r="A597" s="15">
        <v>1597</v>
      </c>
      <c r="B597" s="14">
        <v>45348</v>
      </c>
      <c r="C597" s="18" t="s">
        <v>19</v>
      </c>
      <c r="D597" s="18" t="s">
        <v>34</v>
      </c>
      <c r="E597" s="18" t="s">
        <v>25</v>
      </c>
      <c r="F597" s="18" t="s">
        <v>26</v>
      </c>
      <c r="G597" s="15">
        <v>42</v>
      </c>
      <c r="H597" s="20">
        <v>900</v>
      </c>
      <c r="I597" s="21">
        <v>37800</v>
      </c>
      <c r="J597" s="21">
        <v>801</v>
      </c>
      <c r="K597" s="21">
        <v>4158</v>
      </c>
      <c r="L597" s="30">
        <f>MT1_[[#This Row],[Profit]]/MT1_[[#This Row],[Total Sales]]</f>
        <v>0.11</v>
      </c>
    </row>
    <row r="598" spans="1:12" ht="15.6" x14ac:dyDescent="0.3">
      <c r="A598" s="15">
        <v>1598</v>
      </c>
      <c r="B598" s="14">
        <v>45299</v>
      </c>
      <c r="C598" s="18" t="s">
        <v>20</v>
      </c>
      <c r="D598" s="18" t="s">
        <v>16</v>
      </c>
      <c r="E598" s="18" t="s">
        <v>28</v>
      </c>
      <c r="F598" s="18" t="s">
        <v>14</v>
      </c>
      <c r="G598" s="15">
        <v>66</v>
      </c>
      <c r="H598" s="20">
        <v>700</v>
      </c>
      <c r="I598" s="21">
        <v>46200</v>
      </c>
      <c r="J598" s="21">
        <v>567</v>
      </c>
      <c r="K598" s="21">
        <v>8778</v>
      </c>
      <c r="L598" s="30">
        <f>MT1_[[#This Row],[Profit]]/MT1_[[#This Row],[Total Sales]]</f>
        <v>0.19</v>
      </c>
    </row>
    <row r="599" spans="1:12" ht="15.6" x14ac:dyDescent="0.3">
      <c r="A599" s="15">
        <v>1599</v>
      </c>
      <c r="B599" s="14">
        <v>45334</v>
      </c>
      <c r="C599" s="18" t="s">
        <v>15</v>
      </c>
      <c r="D599" s="18" t="s">
        <v>34</v>
      </c>
      <c r="E599" s="18" t="s">
        <v>17</v>
      </c>
      <c r="F599" s="18" t="s">
        <v>36</v>
      </c>
      <c r="G599" s="15">
        <v>98</v>
      </c>
      <c r="H599" s="20">
        <v>900</v>
      </c>
      <c r="I599" s="21">
        <v>88200</v>
      </c>
      <c r="J599" s="21">
        <v>684</v>
      </c>
      <c r="K599" s="21">
        <v>21168</v>
      </c>
      <c r="L599" s="30">
        <f>MT1_[[#This Row],[Profit]]/MT1_[[#This Row],[Total Sales]]</f>
        <v>0.24</v>
      </c>
    </row>
    <row r="600" spans="1:12" ht="15.6" x14ac:dyDescent="0.3">
      <c r="A600" s="15">
        <v>1600</v>
      </c>
      <c r="B600" s="14">
        <v>45368</v>
      </c>
      <c r="C600" s="18" t="s">
        <v>11</v>
      </c>
      <c r="D600" s="18" t="s">
        <v>16</v>
      </c>
      <c r="E600" s="18" t="s">
        <v>17</v>
      </c>
      <c r="F600" s="18" t="s">
        <v>26</v>
      </c>
      <c r="G600" s="15">
        <v>65</v>
      </c>
      <c r="H600" s="20">
        <v>300</v>
      </c>
      <c r="I600" s="21">
        <v>19500</v>
      </c>
      <c r="J600" s="21">
        <v>270</v>
      </c>
      <c r="K600" s="21">
        <v>1950</v>
      </c>
      <c r="L600" s="30">
        <f>MT1_[[#This Row],[Profit]]/MT1_[[#This Row],[Total Sales]]</f>
        <v>0.1</v>
      </c>
    </row>
    <row r="601" spans="1:12" ht="15.6" x14ac:dyDescent="0.3">
      <c r="A601" s="15">
        <v>1601</v>
      </c>
      <c r="B601" s="14">
        <v>45331</v>
      </c>
      <c r="C601" s="18" t="s">
        <v>21</v>
      </c>
      <c r="D601" s="18" t="s">
        <v>12</v>
      </c>
      <c r="E601" s="18" t="s">
        <v>25</v>
      </c>
      <c r="F601" s="18" t="s">
        <v>14</v>
      </c>
      <c r="G601" s="15">
        <v>21</v>
      </c>
      <c r="H601" s="20">
        <v>700</v>
      </c>
      <c r="I601" s="21">
        <v>14700</v>
      </c>
      <c r="J601" s="21">
        <v>497</v>
      </c>
      <c r="K601" s="21">
        <v>4263</v>
      </c>
      <c r="L601" s="30">
        <f>MT1_[[#This Row],[Profit]]/MT1_[[#This Row],[Total Sales]]</f>
        <v>0.28999999999999998</v>
      </c>
    </row>
    <row r="602" spans="1:12" ht="15.6" x14ac:dyDescent="0.3">
      <c r="A602" s="15">
        <v>1602</v>
      </c>
      <c r="B602" s="14">
        <v>45324</v>
      </c>
      <c r="C602" s="18" t="s">
        <v>15</v>
      </c>
      <c r="D602" s="18" t="s">
        <v>34</v>
      </c>
      <c r="E602" s="18" t="s">
        <v>28</v>
      </c>
      <c r="F602" s="18" t="s">
        <v>23</v>
      </c>
      <c r="G602" s="15">
        <v>51</v>
      </c>
      <c r="H602" s="20">
        <v>150</v>
      </c>
      <c r="I602" s="21">
        <v>7650</v>
      </c>
      <c r="J602" s="21">
        <v>106.5</v>
      </c>
      <c r="K602" s="21">
        <v>2218.5</v>
      </c>
      <c r="L602" s="30">
        <f>MT1_[[#This Row],[Profit]]/MT1_[[#This Row],[Total Sales]]</f>
        <v>0.28999999999999998</v>
      </c>
    </row>
    <row r="603" spans="1:12" ht="15.6" x14ac:dyDescent="0.3">
      <c r="A603" s="15">
        <v>1603</v>
      </c>
      <c r="B603" s="14">
        <v>45294</v>
      </c>
      <c r="C603" s="18" t="s">
        <v>20</v>
      </c>
      <c r="D603" s="18" t="s">
        <v>32</v>
      </c>
      <c r="E603" s="18" t="s">
        <v>30</v>
      </c>
      <c r="F603" s="18" t="s">
        <v>27</v>
      </c>
      <c r="G603" s="15">
        <v>100</v>
      </c>
      <c r="H603" s="20">
        <v>900</v>
      </c>
      <c r="I603" s="21">
        <v>90000</v>
      </c>
      <c r="J603" s="21">
        <v>792</v>
      </c>
      <c r="K603" s="21">
        <v>10800</v>
      </c>
      <c r="L603" s="30">
        <f>MT1_[[#This Row],[Profit]]/MT1_[[#This Row],[Total Sales]]</f>
        <v>0.12</v>
      </c>
    </row>
    <row r="604" spans="1:12" ht="15.6" x14ac:dyDescent="0.3">
      <c r="A604" s="15">
        <v>1604</v>
      </c>
      <c r="B604" s="14">
        <v>45366</v>
      </c>
      <c r="C604" s="18" t="s">
        <v>20</v>
      </c>
      <c r="D604" s="18" t="s">
        <v>12</v>
      </c>
      <c r="E604" s="18" t="s">
        <v>17</v>
      </c>
      <c r="F604" s="18" t="s">
        <v>29</v>
      </c>
      <c r="G604" s="15">
        <v>49</v>
      </c>
      <c r="H604" s="20">
        <v>50</v>
      </c>
      <c r="I604" s="21">
        <v>2450</v>
      </c>
      <c r="J604" s="21">
        <v>36.5</v>
      </c>
      <c r="K604" s="21">
        <v>661.5</v>
      </c>
      <c r="L604" s="30">
        <f>MT1_[[#This Row],[Profit]]/MT1_[[#This Row],[Total Sales]]</f>
        <v>0.27</v>
      </c>
    </row>
    <row r="605" spans="1:12" ht="15.6" x14ac:dyDescent="0.3">
      <c r="A605" s="15">
        <v>1605</v>
      </c>
      <c r="B605" s="14">
        <v>45369</v>
      </c>
      <c r="C605" s="18" t="s">
        <v>15</v>
      </c>
      <c r="D605" s="18" t="s">
        <v>34</v>
      </c>
      <c r="E605" s="18" t="s">
        <v>30</v>
      </c>
      <c r="F605" s="18" t="s">
        <v>35</v>
      </c>
      <c r="G605" s="15">
        <v>13</v>
      </c>
      <c r="H605" s="20">
        <v>50</v>
      </c>
      <c r="I605" s="21">
        <v>650</v>
      </c>
      <c r="J605" s="21">
        <v>38</v>
      </c>
      <c r="K605" s="21">
        <v>156</v>
      </c>
      <c r="L605" s="30">
        <f>MT1_[[#This Row],[Profit]]/MT1_[[#This Row],[Total Sales]]</f>
        <v>0.24</v>
      </c>
    </row>
    <row r="606" spans="1:12" ht="15.6" x14ac:dyDescent="0.3">
      <c r="A606" s="15">
        <v>1606</v>
      </c>
      <c r="B606" s="14">
        <v>45358</v>
      </c>
      <c r="C606" s="18" t="s">
        <v>11</v>
      </c>
      <c r="D606" s="18" t="s">
        <v>32</v>
      </c>
      <c r="E606" s="18" t="s">
        <v>17</v>
      </c>
      <c r="F606" s="18" t="s">
        <v>24</v>
      </c>
      <c r="G606" s="15">
        <v>74</v>
      </c>
      <c r="H606" s="20">
        <v>700</v>
      </c>
      <c r="I606" s="21">
        <v>51800</v>
      </c>
      <c r="J606" s="21">
        <v>616</v>
      </c>
      <c r="K606" s="21">
        <v>6216</v>
      </c>
      <c r="L606" s="30">
        <f>MT1_[[#This Row],[Profit]]/MT1_[[#This Row],[Total Sales]]</f>
        <v>0.12</v>
      </c>
    </row>
    <row r="607" spans="1:12" ht="15.6" x14ac:dyDescent="0.3">
      <c r="A607" s="15">
        <v>1607</v>
      </c>
      <c r="B607" s="14">
        <v>45299</v>
      </c>
      <c r="C607" s="18" t="s">
        <v>20</v>
      </c>
      <c r="D607" s="18" t="s">
        <v>32</v>
      </c>
      <c r="E607" s="18" t="s">
        <v>17</v>
      </c>
      <c r="F607" s="18" t="s">
        <v>24</v>
      </c>
      <c r="G607" s="15">
        <v>86</v>
      </c>
      <c r="H607" s="20">
        <v>15000</v>
      </c>
      <c r="I607" s="21">
        <v>1290000</v>
      </c>
      <c r="J607" s="21">
        <v>10950</v>
      </c>
      <c r="K607" s="21">
        <v>348300</v>
      </c>
      <c r="L607" s="30">
        <f>MT1_[[#This Row],[Profit]]/MT1_[[#This Row],[Total Sales]]</f>
        <v>0.27</v>
      </c>
    </row>
    <row r="608" spans="1:12" ht="15.6" x14ac:dyDescent="0.3">
      <c r="A608" s="15">
        <v>1608</v>
      </c>
      <c r="B608" s="14">
        <v>45307</v>
      </c>
      <c r="C608" s="18" t="s">
        <v>20</v>
      </c>
      <c r="D608" s="18" t="s">
        <v>32</v>
      </c>
      <c r="E608" s="18" t="s">
        <v>25</v>
      </c>
      <c r="F608" s="18" t="s">
        <v>14</v>
      </c>
      <c r="G608" s="15">
        <v>95</v>
      </c>
      <c r="H608" s="20">
        <v>250</v>
      </c>
      <c r="I608" s="21">
        <v>23750</v>
      </c>
      <c r="J608" s="21">
        <v>202.5</v>
      </c>
      <c r="K608" s="21">
        <v>4512.5</v>
      </c>
      <c r="L608" s="30">
        <f>MT1_[[#This Row],[Profit]]/MT1_[[#This Row],[Total Sales]]</f>
        <v>0.19</v>
      </c>
    </row>
    <row r="609" spans="1:12" ht="15.6" x14ac:dyDescent="0.3">
      <c r="A609" s="15">
        <v>1609</v>
      </c>
      <c r="B609" s="14">
        <v>45350</v>
      </c>
      <c r="C609" s="18" t="s">
        <v>19</v>
      </c>
      <c r="D609" s="18" t="s">
        <v>16</v>
      </c>
      <c r="E609" s="18" t="s">
        <v>13</v>
      </c>
      <c r="F609" s="18" t="s">
        <v>18</v>
      </c>
      <c r="G609" s="15">
        <v>55</v>
      </c>
      <c r="H609" s="20">
        <v>900</v>
      </c>
      <c r="I609" s="21">
        <v>49500</v>
      </c>
      <c r="J609" s="21">
        <v>666</v>
      </c>
      <c r="K609" s="21">
        <v>12870</v>
      </c>
      <c r="L609" s="30">
        <f>MT1_[[#This Row],[Profit]]/MT1_[[#This Row],[Total Sales]]</f>
        <v>0.26</v>
      </c>
    </row>
    <row r="610" spans="1:12" ht="15.6" x14ac:dyDescent="0.3">
      <c r="A610" s="15">
        <v>1610</v>
      </c>
      <c r="B610" s="14">
        <v>45361</v>
      </c>
      <c r="C610" s="18" t="s">
        <v>15</v>
      </c>
      <c r="D610" s="18" t="s">
        <v>16</v>
      </c>
      <c r="E610" s="18" t="s">
        <v>17</v>
      </c>
      <c r="F610" s="18" t="s">
        <v>23</v>
      </c>
      <c r="G610" s="15">
        <v>19</v>
      </c>
      <c r="H610" s="20">
        <v>250</v>
      </c>
      <c r="I610" s="21">
        <v>4750</v>
      </c>
      <c r="J610" s="21">
        <v>200</v>
      </c>
      <c r="K610" s="21">
        <v>950</v>
      </c>
      <c r="L610" s="30">
        <f>MT1_[[#This Row],[Profit]]/MT1_[[#This Row],[Total Sales]]</f>
        <v>0.2</v>
      </c>
    </row>
    <row r="611" spans="1:12" ht="15.6" x14ac:dyDescent="0.3">
      <c r="A611" s="15">
        <v>1611</v>
      </c>
      <c r="B611" s="14">
        <v>45373</v>
      </c>
      <c r="C611" s="18" t="s">
        <v>19</v>
      </c>
      <c r="D611" s="18" t="s">
        <v>32</v>
      </c>
      <c r="E611" s="18" t="s">
        <v>30</v>
      </c>
      <c r="F611" s="18" t="s">
        <v>26</v>
      </c>
      <c r="G611" s="15">
        <v>2</v>
      </c>
      <c r="H611" s="20">
        <v>700</v>
      </c>
      <c r="I611" s="21">
        <v>1400</v>
      </c>
      <c r="J611" s="21">
        <v>539</v>
      </c>
      <c r="K611" s="21">
        <v>322</v>
      </c>
      <c r="L611" s="30">
        <f>MT1_[[#This Row],[Profit]]/MT1_[[#This Row],[Total Sales]]</f>
        <v>0.23</v>
      </c>
    </row>
    <row r="612" spans="1:12" ht="15.6" x14ac:dyDescent="0.3">
      <c r="A612" s="15">
        <v>1612</v>
      </c>
      <c r="B612" s="14">
        <v>45292</v>
      </c>
      <c r="C612" s="18" t="s">
        <v>20</v>
      </c>
      <c r="D612" s="18" t="s">
        <v>34</v>
      </c>
      <c r="E612" s="18" t="s">
        <v>17</v>
      </c>
      <c r="F612" s="18" t="s">
        <v>26</v>
      </c>
      <c r="G612" s="15">
        <v>10</v>
      </c>
      <c r="H612" s="20">
        <v>900</v>
      </c>
      <c r="I612" s="21">
        <v>9000</v>
      </c>
      <c r="J612" s="21">
        <v>693</v>
      </c>
      <c r="K612" s="21">
        <v>2070</v>
      </c>
      <c r="L612" s="30">
        <f>MT1_[[#This Row],[Profit]]/MT1_[[#This Row],[Total Sales]]</f>
        <v>0.23</v>
      </c>
    </row>
    <row r="613" spans="1:12" ht="15.6" x14ac:dyDescent="0.3">
      <c r="A613" s="15">
        <v>1613</v>
      </c>
      <c r="B613" s="14">
        <v>45356</v>
      </c>
      <c r="C613" s="18" t="s">
        <v>15</v>
      </c>
      <c r="D613" s="18" t="s">
        <v>16</v>
      </c>
      <c r="E613" s="18" t="s">
        <v>28</v>
      </c>
      <c r="F613" s="18" t="s">
        <v>29</v>
      </c>
      <c r="G613" s="15">
        <v>70</v>
      </c>
      <c r="H613" s="20">
        <v>1200</v>
      </c>
      <c r="I613" s="21">
        <v>84000</v>
      </c>
      <c r="J613" s="21">
        <v>900</v>
      </c>
      <c r="K613" s="21">
        <v>21000</v>
      </c>
      <c r="L613" s="30">
        <f>MT1_[[#This Row],[Profit]]/MT1_[[#This Row],[Total Sales]]</f>
        <v>0.25</v>
      </c>
    </row>
    <row r="614" spans="1:12" ht="15.6" x14ac:dyDescent="0.3">
      <c r="A614" s="15">
        <v>1614</v>
      </c>
      <c r="B614" s="14">
        <v>45362</v>
      </c>
      <c r="C614" s="18" t="s">
        <v>20</v>
      </c>
      <c r="D614" s="18" t="s">
        <v>32</v>
      </c>
      <c r="E614" s="18" t="s">
        <v>13</v>
      </c>
      <c r="F614" s="18" t="s">
        <v>26</v>
      </c>
      <c r="G614" s="15">
        <v>3</v>
      </c>
      <c r="H614" s="20">
        <v>50</v>
      </c>
      <c r="I614" s="21">
        <v>150</v>
      </c>
      <c r="J614" s="21">
        <v>41</v>
      </c>
      <c r="K614" s="21">
        <v>27</v>
      </c>
      <c r="L614" s="30">
        <f>MT1_[[#This Row],[Profit]]/MT1_[[#This Row],[Total Sales]]</f>
        <v>0.18</v>
      </c>
    </row>
    <row r="615" spans="1:12" ht="15.6" x14ac:dyDescent="0.3">
      <c r="A615" s="15">
        <v>1615</v>
      </c>
      <c r="B615" s="14">
        <v>45342</v>
      </c>
      <c r="C615" s="18" t="s">
        <v>20</v>
      </c>
      <c r="D615" s="18" t="s">
        <v>32</v>
      </c>
      <c r="E615" s="18" t="s">
        <v>13</v>
      </c>
      <c r="F615" s="18" t="s">
        <v>29</v>
      </c>
      <c r="G615" s="15">
        <v>85</v>
      </c>
      <c r="H615" s="20">
        <v>500</v>
      </c>
      <c r="I615" s="21">
        <v>42500</v>
      </c>
      <c r="J615" s="21">
        <v>445</v>
      </c>
      <c r="K615" s="21">
        <v>4675</v>
      </c>
      <c r="L615" s="30">
        <f>MT1_[[#This Row],[Profit]]/MT1_[[#This Row],[Total Sales]]</f>
        <v>0.11</v>
      </c>
    </row>
    <row r="616" spans="1:12" ht="15.6" x14ac:dyDescent="0.3">
      <c r="A616" s="15">
        <v>1616</v>
      </c>
      <c r="B616" s="14">
        <v>45296</v>
      </c>
      <c r="C616" s="18" t="s">
        <v>21</v>
      </c>
      <c r="D616" s="18" t="s">
        <v>12</v>
      </c>
      <c r="E616" s="18" t="s">
        <v>30</v>
      </c>
      <c r="F616" s="18" t="s">
        <v>35</v>
      </c>
      <c r="G616" s="15">
        <v>95</v>
      </c>
      <c r="H616" s="20">
        <v>30000</v>
      </c>
      <c r="I616" s="21">
        <v>2850000</v>
      </c>
      <c r="J616" s="21">
        <v>24000</v>
      </c>
      <c r="K616" s="21">
        <v>570000</v>
      </c>
      <c r="L616" s="30">
        <f>MT1_[[#This Row],[Profit]]/MT1_[[#This Row],[Total Sales]]</f>
        <v>0.2</v>
      </c>
    </row>
    <row r="617" spans="1:12" ht="15.6" x14ac:dyDescent="0.3">
      <c r="A617" s="15">
        <v>1617</v>
      </c>
      <c r="B617" s="14">
        <v>45344</v>
      </c>
      <c r="C617" s="18" t="s">
        <v>15</v>
      </c>
      <c r="D617" s="18" t="s">
        <v>16</v>
      </c>
      <c r="E617" s="18" t="s">
        <v>28</v>
      </c>
      <c r="F617" s="18" t="s">
        <v>27</v>
      </c>
      <c r="G617" s="15">
        <v>3</v>
      </c>
      <c r="H617" s="20">
        <v>300</v>
      </c>
      <c r="I617" s="21">
        <v>900</v>
      </c>
      <c r="J617" s="21">
        <v>222</v>
      </c>
      <c r="K617" s="21">
        <v>234</v>
      </c>
      <c r="L617" s="30">
        <f>MT1_[[#This Row],[Profit]]/MT1_[[#This Row],[Total Sales]]</f>
        <v>0.26</v>
      </c>
    </row>
    <row r="618" spans="1:12" ht="15.6" x14ac:dyDescent="0.3">
      <c r="A618" s="15">
        <v>1618</v>
      </c>
      <c r="B618" s="14">
        <v>45370</v>
      </c>
      <c r="C618" s="18" t="s">
        <v>11</v>
      </c>
      <c r="D618" s="18" t="s">
        <v>32</v>
      </c>
      <c r="E618" s="18" t="s">
        <v>25</v>
      </c>
      <c r="F618" s="18" t="s">
        <v>29</v>
      </c>
      <c r="G618" s="15">
        <v>50</v>
      </c>
      <c r="H618" s="20">
        <v>500</v>
      </c>
      <c r="I618" s="21">
        <v>25000</v>
      </c>
      <c r="J618" s="21">
        <v>445</v>
      </c>
      <c r="K618" s="21">
        <v>2750</v>
      </c>
      <c r="L618" s="30">
        <f>MT1_[[#This Row],[Profit]]/MT1_[[#This Row],[Total Sales]]</f>
        <v>0.11</v>
      </c>
    </row>
    <row r="619" spans="1:12" ht="15.6" x14ac:dyDescent="0.3">
      <c r="A619" s="15">
        <v>1619</v>
      </c>
      <c r="B619" s="14">
        <v>45364</v>
      </c>
      <c r="C619" s="18" t="s">
        <v>15</v>
      </c>
      <c r="D619" s="18" t="s">
        <v>33</v>
      </c>
      <c r="E619" s="18" t="s">
        <v>25</v>
      </c>
      <c r="F619" s="18" t="s">
        <v>14</v>
      </c>
      <c r="G619" s="15">
        <v>3</v>
      </c>
      <c r="H619" s="20">
        <v>150</v>
      </c>
      <c r="I619" s="21">
        <v>450</v>
      </c>
      <c r="J619" s="21">
        <v>115.5</v>
      </c>
      <c r="K619" s="21">
        <v>103.5</v>
      </c>
      <c r="L619" s="30">
        <f>MT1_[[#This Row],[Profit]]/MT1_[[#This Row],[Total Sales]]</f>
        <v>0.23</v>
      </c>
    </row>
    <row r="620" spans="1:12" ht="15.6" x14ac:dyDescent="0.3">
      <c r="A620" s="15">
        <v>1620</v>
      </c>
      <c r="B620" s="14">
        <v>45335</v>
      </c>
      <c r="C620" s="18" t="s">
        <v>21</v>
      </c>
      <c r="D620" s="18" t="s">
        <v>32</v>
      </c>
      <c r="E620" s="18" t="s">
        <v>17</v>
      </c>
      <c r="F620" s="18" t="s">
        <v>27</v>
      </c>
      <c r="G620" s="15">
        <v>54</v>
      </c>
      <c r="H620" s="20">
        <v>700</v>
      </c>
      <c r="I620" s="21">
        <v>37800</v>
      </c>
      <c r="J620" s="21">
        <v>609</v>
      </c>
      <c r="K620" s="21">
        <v>4914</v>
      </c>
      <c r="L620" s="30">
        <f>MT1_[[#This Row],[Profit]]/MT1_[[#This Row],[Total Sales]]</f>
        <v>0.13</v>
      </c>
    </row>
    <row r="621" spans="1:12" ht="15.6" x14ac:dyDescent="0.3">
      <c r="A621" s="15">
        <v>1621</v>
      </c>
      <c r="B621" s="14">
        <v>45295</v>
      </c>
      <c r="C621" s="18" t="s">
        <v>11</v>
      </c>
      <c r="D621" s="18" t="s">
        <v>32</v>
      </c>
      <c r="E621" s="18" t="s">
        <v>30</v>
      </c>
      <c r="F621" s="18" t="s">
        <v>18</v>
      </c>
      <c r="G621" s="15">
        <v>1</v>
      </c>
      <c r="H621" s="20">
        <v>300</v>
      </c>
      <c r="I621" s="21">
        <v>300</v>
      </c>
      <c r="J621" s="21">
        <v>267</v>
      </c>
      <c r="K621" s="21">
        <v>33</v>
      </c>
      <c r="L621" s="30">
        <f>MT1_[[#This Row],[Profit]]/MT1_[[#This Row],[Total Sales]]</f>
        <v>0.11</v>
      </c>
    </row>
    <row r="622" spans="1:12" ht="15.6" x14ac:dyDescent="0.3">
      <c r="A622" s="15">
        <v>1622</v>
      </c>
      <c r="B622" s="14">
        <v>45364</v>
      </c>
      <c r="C622" s="18" t="s">
        <v>21</v>
      </c>
      <c r="D622" s="18" t="s">
        <v>33</v>
      </c>
      <c r="E622" s="18" t="s">
        <v>17</v>
      </c>
      <c r="F622" s="18" t="s">
        <v>27</v>
      </c>
      <c r="G622" s="15">
        <v>4</v>
      </c>
      <c r="H622" s="20">
        <v>30000</v>
      </c>
      <c r="I622" s="21">
        <v>120000</v>
      </c>
      <c r="J622" s="21">
        <v>21300</v>
      </c>
      <c r="K622" s="21">
        <v>34800</v>
      </c>
      <c r="L622" s="30">
        <f>MT1_[[#This Row],[Profit]]/MT1_[[#This Row],[Total Sales]]</f>
        <v>0.28999999999999998</v>
      </c>
    </row>
    <row r="623" spans="1:12" ht="15.6" x14ac:dyDescent="0.3">
      <c r="A623" s="15">
        <v>1623</v>
      </c>
      <c r="B623" s="14">
        <v>45312</v>
      </c>
      <c r="C623" s="18" t="s">
        <v>21</v>
      </c>
      <c r="D623" s="18" t="s">
        <v>32</v>
      </c>
      <c r="E623" s="18" t="s">
        <v>13</v>
      </c>
      <c r="F623" s="18" t="s">
        <v>27</v>
      </c>
      <c r="G623" s="15">
        <v>84</v>
      </c>
      <c r="H623" s="20">
        <v>1200</v>
      </c>
      <c r="I623" s="21">
        <v>100800</v>
      </c>
      <c r="J623" s="21">
        <v>1044</v>
      </c>
      <c r="K623" s="21">
        <v>13104</v>
      </c>
      <c r="L623" s="30">
        <f>MT1_[[#This Row],[Profit]]/MT1_[[#This Row],[Total Sales]]</f>
        <v>0.13</v>
      </c>
    </row>
    <row r="624" spans="1:12" ht="15.6" x14ac:dyDescent="0.3">
      <c r="A624" s="15">
        <v>1624</v>
      </c>
      <c r="B624" s="14">
        <v>45331</v>
      </c>
      <c r="C624" s="18" t="s">
        <v>11</v>
      </c>
      <c r="D624" s="18" t="s">
        <v>34</v>
      </c>
      <c r="E624" s="18" t="s">
        <v>28</v>
      </c>
      <c r="F624" s="18" t="s">
        <v>29</v>
      </c>
      <c r="G624" s="15">
        <v>7</v>
      </c>
      <c r="H624" s="20">
        <v>15000</v>
      </c>
      <c r="I624" s="21">
        <v>105000</v>
      </c>
      <c r="J624" s="21">
        <v>12900</v>
      </c>
      <c r="K624" s="21">
        <v>14700</v>
      </c>
      <c r="L624" s="30">
        <f>MT1_[[#This Row],[Profit]]/MT1_[[#This Row],[Total Sales]]</f>
        <v>0.14000000000000001</v>
      </c>
    </row>
    <row r="625" spans="1:12" ht="15.6" x14ac:dyDescent="0.3">
      <c r="A625" s="15">
        <v>1625</v>
      </c>
      <c r="B625" s="14">
        <v>45325</v>
      </c>
      <c r="C625" s="18" t="s">
        <v>11</v>
      </c>
      <c r="D625" s="18" t="s">
        <v>33</v>
      </c>
      <c r="E625" s="18" t="s">
        <v>25</v>
      </c>
      <c r="F625" s="18" t="s">
        <v>24</v>
      </c>
      <c r="G625" s="15">
        <v>17</v>
      </c>
      <c r="H625" s="20">
        <v>500</v>
      </c>
      <c r="I625" s="21">
        <v>8500</v>
      </c>
      <c r="J625" s="21">
        <v>445</v>
      </c>
      <c r="K625" s="21">
        <v>935</v>
      </c>
      <c r="L625" s="30">
        <f>MT1_[[#This Row],[Profit]]/MT1_[[#This Row],[Total Sales]]</f>
        <v>0.11</v>
      </c>
    </row>
    <row r="626" spans="1:12" ht="15.6" x14ac:dyDescent="0.3">
      <c r="A626" s="15">
        <v>1626</v>
      </c>
      <c r="B626" s="14">
        <v>45346</v>
      </c>
      <c r="C626" s="18" t="s">
        <v>15</v>
      </c>
      <c r="D626" s="18" t="s">
        <v>33</v>
      </c>
      <c r="E626" s="18" t="s">
        <v>28</v>
      </c>
      <c r="F626" s="18" t="s">
        <v>14</v>
      </c>
      <c r="G626" s="15">
        <v>92</v>
      </c>
      <c r="H626" s="20">
        <v>300</v>
      </c>
      <c r="I626" s="21">
        <v>27600</v>
      </c>
      <c r="J626" s="21">
        <v>228</v>
      </c>
      <c r="K626" s="21">
        <v>6624</v>
      </c>
      <c r="L626" s="30">
        <f>MT1_[[#This Row],[Profit]]/MT1_[[#This Row],[Total Sales]]</f>
        <v>0.24</v>
      </c>
    </row>
    <row r="627" spans="1:12" ht="15.6" x14ac:dyDescent="0.3">
      <c r="A627" s="15">
        <v>1627</v>
      </c>
      <c r="B627" s="14">
        <v>45318</v>
      </c>
      <c r="C627" s="18" t="s">
        <v>20</v>
      </c>
      <c r="D627" s="18" t="s">
        <v>16</v>
      </c>
      <c r="E627" s="18" t="s">
        <v>13</v>
      </c>
      <c r="F627" s="18" t="s">
        <v>23</v>
      </c>
      <c r="G627" s="15">
        <v>21</v>
      </c>
      <c r="H627" s="20">
        <v>250</v>
      </c>
      <c r="I627" s="21">
        <v>5250</v>
      </c>
      <c r="J627" s="21">
        <v>212.5</v>
      </c>
      <c r="K627" s="21">
        <v>787.5</v>
      </c>
      <c r="L627" s="30">
        <f>MT1_[[#This Row],[Profit]]/MT1_[[#This Row],[Total Sales]]</f>
        <v>0.15</v>
      </c>
    </row>
    <row r="628" spans="1:12" ht="15.6" x14ac:dyDescent="0.3">
      <c r="A628" s="15">
        <v>1628</v>
      </c>
      <c r="B628" s="14">
        <v>45381</v>
      </c>
      <c r="C628" s="18" t="s">
        <v>21</v>
      </c>
      <c r="D628" s="18" t="s">
        <v>34</v>
      </c>
      <c r="E628" s="18" t="s">
        <v>25</v>
      </c>
      <c r="F628" s="18" t="s">
        <v>18</v>
      </c>
      <c r="G628" s="15">
        <v>88</v>
      </c>
      <c r="H628" s="20">
        <v>900</v>
      </c>
      <c r="I628" s="21">
        <v>79200</v>
      </c>
      <c r="J628" s="21">
        <v>675</v>
      </c>
      <c r="K628" s="21">
        <v>19800</v>
      </c>
      <c r="L628" s="30">
        <f>MT1_[[#This Row],[Profit]]/MT1_[[#This Row],[Total Sales]]</f>
        <v>0.25</v>
      </c>
    </row>
    <row r="629" spans="1:12" ht="15.6" x14ac:dyDescent="0.3">
      <c r="A629" s="15">
        <v>1629</v>
      </c>
      <c r="B629" s="14">
        <v>45336</v>
      </c>
      <c r="C629" s="18" t="s">
        <v>11</v>
      </c>
      <c r="D629" s="18" t="s">
        <v>33</v>
      </c>
      <c r="E629" s="18" t="s">
        <v>13</v>
      </c>
      <c r="F629" s="18" t="s">
        <v>26</v>
      </c>
      <c r="G629" s="15">
        <v>88</v>
      </c>
      <c r="H629" s="20">
        <v>1200</v>
      </c>
      <c r="I629" s="21">
        <v>105600</v>
      </c>
      <c r="J629" s="21">
        <v>924</v>
      </c>
      <c r="K629" s="21">
        <v>24288</v>
      </c>
      <c r="L629" s="30">
        <f>MT1_[[#This Row],[Profit]]/MT1_[[#This Row],[Total Sales]]</f>
        <v>0.23</v>
      </c>
    </row>
    <row r="630" spans="1:12" ht="15.6" x14ac:dyDescent="0.3">
      <c r="A630" s="15">
        <v>1630</v>
      </c>
      <c r="B630" s="14">
        <v>45328</v>
      </c>
      <c r="C630" s="18" t="s">
        <v>15</v>
      </c>
      <c r="D630" s="18" t="s">
        <v>16</v>
      </c>
      <c r="E630" s="18" t="s">
        <v>13</v>
      </c>
      <c r="F630" s="18" t="s">
        <v>31</v>
      </c>
      <c r="G630" s="15">
        <v>30</v>
      </c>
      <c r="H630" s="20">
        <v>300</v>
      </c>
      <c r="I630" s="21">
        <v>9000</v>
      </c>
      <c r="J630" s="21">
        <v>234</v>
      </c>
      <c r="K630" s="21">
        <v>1980</v>
      </c>
      <c r="L630" s="30">
        <f>MT1_[[#This Row],[Profit]]/MT1_[[#This Row],[Total Sales]]</f>
        <v>0.22</v>
      </c>
    </row>
    <row r="631" spans="1:12" ht="15.6" x14ac:dyDescent="0.3">
      <c r="A631" s="15">
        <v>1631</v>
      </c>
      <c r="B631" s="14">
        <v>45363</v>
      </c>
      <c r="C631" s="18" t="s">
        <v>21</v>
      </c>
      <c r="D631" s="18" t="s">
        <v>32</v>
      </c>
      <c r="E631" s="18" t="s">
        <v>25</v>
      </c>
      <c r="F631" s="18" t="s">
        <v>23</v>
      </c>
      <c r="G631" s="15">
        <v>44</v>
      </c>
      <c r="H631" s="20">
        <v>300</v>
      </c>
      <c r="I631" s="21">
        <v>13200</v>
      </c>
      <c r="J631" s="21">
        <v>222</v>
      </c>
      <c r="K631" s="21">
        <v>3432</v>
      </c>
      <c r="L631" s="30">
        <f>MT1_[[#This Row],[Profit]]/MT1_[[#This Row],[Total Sales]]</f>
        <v>0.26</v>
      </c>
    </row>
    <row r="632" spans="1:12" ht="15.6" x14ac:dyDescent="0.3">
      <c r="A632" s="15">
        <v>1632</v>
      </c>
      <c r="B632" s="14">
        <v>45338</v>
      </c>
      <c r="C632" s="18" t="s">
        <v>19</v>
      </c>
      <c r="D632" s="18" t="s">
        <v>16</v>
      </c>
      <c r="E632" s="18" t="s">
        <v>17</v>
      </c>
      <c r="F632" s="18" t="s">
        <v>18</v>
      </c>
      <c r="G632" s="15">
        <v>30</v>
      </c>
      <c r="H632" s="20">
        <v>50</v>
      </c>
      <c r="I632" s="21">
        <v>1500</v>
      </c>
      <c r="J632" s="21">
        <v>43</v>
      </c>
      <c r="K632" s="21">
        <v>210</v>
      </c>
      <c r="L632" s="30">
        <f>MT1_[[#This Row],[Profit]]/MT1_[[#This Row],[Total Sales]]</f>
        <v>0.14000000000000001</v>
      </c>
    </row>
    <row r="633" spans="1:12" ht="15.6" x14ac:dyDescent="0.3">
      <c r="A633" s="15">
        <v>1633</v>
      </c>
      <c r="B633" s="14">
        <v>45320</v>
      </c>
      <c r="C633" s="18" t="s">
        <v>21</v>
      </c>
      <c r="D633" s="18" t="s">
        <v>33</v>
      </c>
      <c r="E633" s="18" t="s">
        <v>28</v>
      </c>
      <c r="F633" s="18" t="s">
        <v>24</v>
      </c>
      <c r="G633" s="15">
        <v>61</v>
      </c>
      <c r="H633" s="20">
        <v>500</v>
      </c>
      <c r="I633" s="21">
        <v>30500</v>
      </c>
      <c r="J633" s="21">
        <v>365</v>
      </c>
      <c r="K633" s="21">
        <v>8235</v>
      </c>
      <c r="L633" s="30">
        <f>MT1_[[#This Row],[Profit]]/MT1_[[#This Row],[Total Sales]]</f>
        <v>0.27</v>
      </c>
    </row>
    <row r="634" spans="1:12" ht="15.6" x14ac:dyDescent="0.3">
      <c r="A634" s="15">
        <v>1634</v>
      </c>
      <c r="B634" s="14">
        <v>45304</v>
      </c>
      <c r="C634" s="18" t="s">
        <v>11</v>
      </c>
      <c r="D634" s="18" t="s">
        <v>33</v>
      </c>
      <c r="E634" s="18" t="s">
        <v>25</v>
      </c>
      <c r="F634" s="18" t="s">
        <v>29</v>
      </c>
      <c r="G634" s="15">
        <v>35</v>
      </c>
      <c r="H634" s="20">
        <v>700</v>
      </c>
      <c r="I634" s="21">
        <v>24500</v>
      </c>
      <c r="J634" s="21">
        <v>595</v>
      </c>
      <c r="K634" s="21">
        <v>3675</v>
      </c>
      <c r="L634" s="30">
        <f>MT1_[[#This Row],[Profit]]/MT1_[[#This Row],[Total Sales]]</f>
        <v>0.15</v>
      </c>
    </row>
    <row r="635" spans="1:12" ht="15.6" x14ac:dyDescent="0.3">
      <c r="A635" s="15">
        <v>1635</v>
      </c>
      <c r="B635" s="14">
        <v>45347</v>
      </c>
      <c r="C635" s="18" t="s">
        <v>15</v>
      </c>
      <c r="D635" s="18" t="s">
        <v>34</v>
      </c>
      <c r="E635" s="18" t="s">
        <v>17</v>
      </c>
      <c r="F635" s="18" t="s">
        <v>36</v>
      </c>
      <c r="G635" s="15">
        <v>10</v>
      </c>
      <c r="H635" s="20">
        <v>30000</v>
      </c>
      <c r="I635" s="21">
        <v>300000</v>
      </c>
      <c r="J635" s="21">
        <v>24600</v>
      </c>
      <c r="K635" s="21">
        <v>54000</v>
      </c>
      <c r="L635" s="30">
        <f>MT1_[[#This Row],[Profit]]/MT1_[[#This Row],[Total Sales]]</f>
        <v>0.18</v>
      </c>
    </row>
    <row r="636" spans="1:12" ht="15.6" x14ac:dyDescent="0.3">
      <c r="A636" s="15">
        <v>1636</v>
      </c>
      <c r="B636" s="14">
        <v>45341</v>
      </c>
      <c r="C636" s="18" t="s">
        <v>11</v>
      </c>
      <c r="D636" s="18" t="s">
        <v>16</v>
      </c>
      <c r="E636" s="18" t="s">
        <v>17</v>
      </c>
      <c r="F636" s="18" t="s">
        <v>18</v>
      </c>
      <c r="G636" s="15">
        <v>45</v>
      </c>
      <c r="H636" s="20">
        <v>500</v>
      </c>
      <c r="I636" s="21">
        <v>22500</v>
      </c>
      <c r="J636" s="21">
        <v>375</v>
      </c>
      <c r="K636" s="21">
        <v>5625</v>
      </c>
      <c r="L636" s="30">
        <f>MT1_[[#This Row],[Profit]]/MT1_[[#This Row],[Total Sales]]</f>
        <v>0.25</v>
      </c>
    </row>
    <row r="637" spans="1:12" ht="15.6" x14ac:dyDescent="0.3">
      <c r="A637" s="15">
        <v>1637</v>
      </c>
      <c r="B637" s="14">
        <v>45346</v>
      </c>
      <c r="C637" s="18" t="s">
        <v>20</v>
      </c>
      <c r="D637" s="18" t="s">
        <v>16</v>
      </c>
      <c r="E637" s="18" t="s">
        <v>17</v>
      </c>
      <c r="F637" s="18" t="s">
        <v>23</v>
      </c>
      <c r="G637" s="15">
        <v>27</v>
      </c>
      <c r="H637" s="20">
        <v>700</v>
      </c>
      <c r="I637" s="21">
        <v>18900</v>
      </c>
      <c r="J637" s="21">
        <v>504</v>
      </c>
      <c r="K637" s="21">
        <v>5292</v>
      </c>
      <c r="L637" s="30">
        <f>MT1_[[#This Row],[Profit]]/MT1_[[#This Row],[Total Sales]]</f>
        <v>0.28000000000000003</v>
      </c>
    </row>
    <row r="638" spans="1:12" ht="15.6" x14ac:dyDescent="0.3">
      <c r="A638" s="15">
        <v>1638</v>
      </c>
      <c r="B638" s="14">
        <v>45368</v>
      </c>
      <c r="C638" s="18" t="s">
        <v>21</v>
      </c>
      <c r="D638" s="18" t="s">
        <v>32</v>
      </c>
      <c r="E638" s="18" t="s">
        <v>25</v>
      </c>
      <c r="F638" s="18" t="s">
        <v>26</v>
      </c>
      <c r="G638" s="15">
        <v>16</v>
      </c>
      <c r="H638" s="20">
        <v>500</v>
      </c>
      <c r="I638" s="21">
        <v>8000</v>
      </c>
      <c r="J638" s="21">
        <v>375</v>
      </c>
      <c r="K638" s="21">
        <v>2000</v>
      </c>
      <c r="L638" s="30">
        <f>MT1_[[#This Row],[Profit]]/MT1_[[#This Row],[Total Sales]]</f>
        <v>0.25</v>
      </c>
    </row>
    <row r="639" spans="1:12" ht="15.6" x14ac:dyDescent="0.3">
      <c r="A639" s="15">
        <v>1639</v>
      </c>
      <c r="B639" s="14">
        <v>45302</v>
      </c>
      <c r="C639" s="18" t="s">
        <v>19</v>
      </c>
      <c r="D639" s="18" t="s">
        <v>32</v>
      </c>
      <c r="E639" s="18" t="s">
        <v>30</v>
      </c>
      <c r="F639" s="18" t="s">
        <v>24</v>
      </c>
      <c r="G639" s="15">
        <v>41</v>
      </c>
      <c r="H639" s="20">
        <v>150</v>
      </c>
      <c r="I639" s="21">
        <v>6150</v>
      </c>
      <c r="J639" s="21">
        <v>135</v>
      </c>
      <c r="K639" s="21">
        <v>615</v>
      </c>
      <c r="L639" s="30">
        <f>MT1_[[#This Row],[Profit]]/MT1_[[#This Row],[Total Sales]]</f>
        <v>0.1</v>
      </c>
    </row>
    <row r="640" spans="1:12" ht="15.6" x14ac:dyDescent="0.3">
      <c r="A640" s="15">
        <v>1640</v>
      </c>
      <c r="B640" s="14">
        <v>45320</v>
      </c>
      <c r="C640" s="18" t="s">
        <v>21</v>
      </c>
      <c r="D640" s="18" t="s">
        <v>12</v>
      </c>
      <c r="E640" s="18" t="s">
        <v>28</v>
      </c>
      <c r="F640" s="18" t="s">
        <v>24</v>
      </c>
      <c r="G640" s="15">
        <v>1</v>
      </c>
      <c r="H640" s="20">
        <v>30000</v>
      </c>
      <c r="I640" s="21">
        <v>30000</v>
      </c>
      <c r="J640" s="21">
        <v>24000</v>
      </c>
      <c r="K640" s="21">
        <v>6000</v>
      </c>
      <c r="L640" s="30">
        <f>MT1_[[#This Row],[Profit]]/MT1_[[#This Row],[Total Sales]]</f>
        <v>0.2</v>
      </c>
    </row>
    <row r="641" spans="1:12" ht="15.6" x14ac:dyDescent="0.3">
      <c r="A641" s="15">
        <v>1641</v>
      </c>
      <c r="B641" s="14">
        <v>45307</v>
      </c>
      <c r="C641" s="18" t="s">
        <v>15</v>
      </c>
      <c r="D641" s="18" t="s">
        <v>34</v>
      </c>
      <c r="E641" s="18" t="s">
        <v>17</v>
      </c>
      <c r="F641" s="18" t="s">
        <v>24</v>
      </c>
      <c r="G641" s="15">
        <v>75</v>
      </c>
      <c r="H641" s="20">
        <v>50</v>
      </c>
      <c r="I641" s="21">
        <v>3750</v>
      </c>
      <c r="J641" s="21">
        <v>42.5</v>
      </c>
      <c r="K641" s="21">
        <v>562.5</v>
      </c>
      <c r="L641" s="30">
        <f>MT1_[[#This Row],[Profit]]/MT1_[[#This Row],[Total Sales]]</f>
        <v>0.15</v>
      </c>
    </row>
    <row r="642" spans="1:12" ht="15.6" x14ac:dyDescent="0.3">
      <c r="A642" s="15">
        <v>1642</v>
      </c>
      <c r="B642" s="14">
        <v>45344</v>
      </c>
      <c r="C642" s="18" t="s">
        <v>21</v>
      </c>
      <c r="D642" s="18" t="s">
        <v>16</v>
      </c>
      <c r="E642" s="18" t="s">
        <v>28</v>
      </c>
      <c r="F642" s="18" t="s">
        <v>35</v>
      </c>
      <c r="G642" s="15">
        <v>28</v>
      </c>
      <c r="H642" s="20">
        <v>700</v>
      </c>
      <c r="I642" s="21">
        <v>19600</v>
      </c>
      <c r="J642" s="21">
        <v>546</v>
      </c>
      <c r="K642" s="21">
        <v>4312</v>
      </c>
      <c r="L642" s="30">
        <f>MT1_[[#This Row],[Profit]]/MT1_[[#This Row],[Total Sales]]</f>
        <v>0.22</v>
      </c>
    </row>
    <row r="643" spans="1:12" ht="15.6" x14ac:dyDescent="0.3">
      <c r="A643" s="15">
        <v>1643</v>
      </c>
      <c r="B643" s="14">
        <v>45292</v>
      </c>
      <c r="C643" s="18" t="s">
        <v>21</v>
      </c>
      <c r="D643" s="18" t="s">
        <v>32</v>
      </c>
      <c r="E643" s="18" t="s">
        <v>17</v>
      </c>
      <c r="F643" s="18" t="s">
        <v>29</v>
      </c>
      <c r="G643" s="15">
        <v>70</v>
      </c>
      <c r="H643" s="20">
        <v>30000</v>
      </c>
      <c r="I643" s="21">
        <v>2100000</v>
      </c>
      <c r="J643" s="21">
        <v>24600</v>
      </c>
      <c r="K643" s="21">
        <v>378000</v>
      </c>
      <c r="L643" s="30">
        <f>MT1_[[#This Row],[Profit]]/MT1_[[#This Row],[Total Sales]]</f>
        <v>0.18</v>
      </c>
    </row>
    <row r="644" spans="1:12" ht="15.6" x14ac:dyDescent="0.3">
      <c r="A644" s="15">
        <v>1644</v>
      </c>
      <c r="B644" s="14">
        <v>45297</v>
      </c>
      <c r="C644" s="18" t="s">
        <v>20</v>
      </c>
      <c r="D644" s="18" t="s">
        <v>12</v>
      </c>
      <c r="E644" s="18" t="s">
        <v>13</v>
      </c>
      <c r="F644" s="18" t="s">
        <v>14</v>
      </c>
      <c r="G644" s="15">
        <v>41</v>
      </c>
      <c r="H644" s="20">
        <v>700</v>
      </c>
      <c r="I644" s="21">
        <v>28700</v>
      </c>
      <c r="J644" s="21">
        <v>616</v>
      </c>
      <c r="K644" s="21">
        <v>3444</v>
      </c>
      <c r="L644" s="30">
        <f>MT1_[[#This Row],[Profit]]/MT1_[[#This Row],[Total Sales]]</f>
        <v>0.12</v>
      </c>
    </row>
    <row r="645" spans="1:12" ht="15.6" x14ac:dyDescent="0.3">
      <c r="A645" s="15">
        <v>1645</v>
      </c>
      <c r="B645" s="14">
        <v>45302</v>
      </c>
      <c r="C645" s="18" t="s">
        <v>11</v>
      </c>
      <c r="D645" s="18" t="s">
        <v>34</v>
      </c>
      <c r="E645" s="18" t="s">
        <v>13</v>
      </c>
      <c r="F645" s="18" t="s">
        <v>24</v>
      </c>
      <c r="G645" s="15">
        <v>42</v>
      </c>
      <c r="H645" s="20">
        <v>1200</v>
      </c>
      <c r="I645" s="21">
        <v>50400</v>
      </c>
      <c r="J645" s="21">
        <v>1056</v>
      </c>
      <c r="K645" s="21">
        <v>6048</v>
      </c>
      <c r="L645" s="30">
        <f>MT1_[[#This Row],[Profit]]/MT1_[[#This Row],[Total Sales]]</f>
        <v>0.12</v>
      </c>
    </row>
    <row r="646" spans="1:12" ht="15.6" x14ac:dyDescent="0.3">
      <c r="A646" s="15">
        <v>1646</v>
      </c>
      <c r="B646" s="14">
        <v>45327</v>
      </c>
      <c r="C646" s="18" t="s">
        <v>21</v>
      </c>
      <c r="D646" s="18" t="s">
        <v>16</v>
      </c>
      <c r="E646" s="18" t="s">
        <v>17</v>
      </c>
      <c r="F646" s="18" t="s">
        <v>23</v>
      </c>
      <c r="G646" s="15">
        <v>78</v>
      </c>
      <c r="H646" s="20">
        <v>30000</v>
      </c>
      <c r="I646" s="21">
        <v>2340000</v>
      </c>
      <c r="J646" s="21">
        <v>25800</v>
      </c>
      <c r="K646" s="21">
        <v>327600</v>
      </c>
      <c r="L646" s="30">
        <f>MT1_[[#This Row],[Profit]]/MT1_[[#This Row],[Total Sales]]</f>
        <v>0.14000000000000001</v>
      </c>
    </row>
    <row r="647" spans="1:12" ht="15.6" x14ac:dyDescent="0.3">
      <c r="A647" s="15">
        <v>1647</v>
      </c>
      <c r="B647" s="14">
        <v>45298</v>
      </c>
      <c r="C647" s="18" t="s">
        <v>15</v>
      </c>
      <c r="D647" s="18" t="s">
        <v>32</v>
      </c>
      <c r="E647" s="18" t="s">
        <v>28</v>
      </c>
      <c r="F647" s="18" t="s">
        <v>14</v>
      </c>
      <c r="G647" s="15">
        <v>12</v>
      </c>
      <c r="H647" s="20">
        <v>500</v>
      </c>
      <c r="I647" s="21">
        <v>6000</v>
      </c>
      <c r="J647" s="21">
        <v>405</v>
      </c>
      <c r="K647" s="21">
        <v>1140</v>
      </c>
      <c r="L647" s="30">
        <f>MT1_[[#This Row],[Profit]]/MT1_[[#This Row],[Total Sales]]</f>
        <v>0.19</v>
      </c>
    </row>
    <row r="648" spans="1:12" ht="15.6" x14ac:dyDescent="0.3">
      <c r="A648" s="15">
        <v>1648</v>
      </c>
      <c r="B648" s="14">
        <v>45355</v>
      </c>
      <c r="C648" s="18" t="s">
        <v>20</v>
      </c>
      <c r="D648" s="18" t="s">
        <v>12</v>
      </c>
      <c r="E648" s="18" t="s">
        <v>13</v>
      </c>
      <c r="F648" s="18" t="s">
        <v>31</v>
      </c>
      <c r="G648" s="15">
        <v>66</v>
      </c>
      <c r="H648" s="20">
        <v>250</v>
      </c>
      <c r="I648" s="21">
        <v>16500</v>
      </c>
      <c r="J648" s="21">
        <v>202.5</v>
      </c>
      <c r="K648" s="21">
        <v>3135</v>
      </c>
      <c r="L648" s="30">
        <f>MT1_[[#This Row],[Profit]]/MT1_[[#This Row],[Total Sales]]</f>
        <v>0.19</v>
      </c>
    </row>
    <row r="649" spans="1:12" ht="15.6" x14ac:dyDescent="0.3">
      <c r="A649" s="15">
        <v>1649</v>
      </c>
      <c r="B649" s="14">
        <v>45358</v>
      </c>
      <c r="C649" s="18" t="s">
        <v>20</v>
      </c>
      <c r="D649" s="18" t="s">
        <v>12</v>
      </c>
      <c r="E649" s="18" t="s">
        <v>25</v>
      </c>
      <c r="F649" s="18" t="s">
        <v>18</v>
      </c>
      <c r="G649" s="15">
        <v>13</v>
      </c>
      <c r="H649" s="20">
        <v>150</v>
      </c>
      <c r="I649" s="21">
        <v>1950</v>
      </c>
      <c r="J649" s="21">
        <v>121.5</v>
      </c>
      <c r="K649" s="21">
        <v>370.5</v>
      </c>
      <c r="L649" s="30">
        <f>MT1_[[#This Row],[Profit]]/MT1_[[#This Row],[Total Sales]]</f>
        <v>0.19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E4228-3D2D-4A39-AD5A-8EE6136B3F87}">
  <dimension ref="A3:B9"/>
  <sheetViews>
    <sheetView workbookViewId="0">
      <selection activeCell="K28" sqref="K28"/>
    </sheetView>
  </sheetViews>
  <sheetFormatPr defaultRowHeight="14.4" x14ac:dyDescent="0.3"/>
  <cols>
    <col min="1" max="1" width="12.44140625" bestFit="1" customWidth="1"/>
    <col min="2" max="2" width="16.109375" bestFit="1" customWidth="1"/>
  </cols>
  <sheetData>
    <row r="3" spans="1:2" x14ac:dyDescent="0.3">
      <c r="A3" s="22" t="s">
        <v>37</v>
      </c>
      <c r="B3" t="s">
        <v>39</v>
      </c>
    </row>
    <row r="4" spans="1:2" x14ac:dyDescent="0.3">
      <c r="A4" s="23" t="s">
        <v>34</v>
      </c>
      <c r="B4">
        <v>37610550</v>
      </c>
    </row>
    <row r="5" spans="1:2" x14ac:dyDescent="0.3">
      <c r="A5" s="23" t="s">
        <v>16</v>
      </c>
      <c r="B5">
        <v>36502000</v>
      </c>
    </row>
    <row r="6" spans="1:2" x14ac:dyDescent="0.3">
      <c r="A6" s="23" t="s">
        <v>12</v>
      </c>
      <c r="B6">
        <v>33528250</v>
      </c>
    </row>
    <row r="7" spans="1:2" x14ac:dyDescent="0.3">
      <c r="A7" s="23" t="s">
        <v>32</v>
      </c>
      <c r="B7">
        <v>30301700</v>
      </c>
    </row>
    <row r="8" spans="1:2" x14ac:dyDescent="0.3">
      <c r="A8" s="23" t="s">
        <v>33</v>
      </c>
      <c r="B8">
        <v>29495450</v>
      </c>
    </row>
    <row r="9" spans="1:2" x14ac:dyDescent="0.3">
      <c r="A9" s="23" t="s">
        <v>38</v>
      </c>
      <c r="B9">
        <v>167437950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292EF-A0EC-42A3-A748-F26F99C0D5A5}">
  <dimension ref="A3:B9"/>
  <sheetViews>
    <sheetView workbookViewId="0">
      <selection activeCell="A4" sqref="A4:B4"/>
    </sheetView>
  </sheetViews>
  <sheetFormatPr defaultRowHeight="14.4" x14ac:dyDescent="0.3"/>
  <cols>
    <col min="1" max="1" width="12.44140625" bestFit="1" customWidth="1"/>
    <col min="2" max="2" width="17.6640625" bestFit="1" customWidth="1"/>
  </cols>
  <sheetData>
    <row r="3" spans="1:2" x14ac:dyDescent="0.3">
      <c r="A3" s="22" t="s">
        <v>37</v>
      </c>
      <c r="B3" t="s">
        <v>46</v>
      </c>
    </row>
    <row r="4" spans="1:2" x14ac:dyDescent="0.3">
      <c r="A4" s="27" t="s">
        <v>13</v>
      </c>
      <c r="B4" s="28">
        <v>27.820000000000014</v>
      </c>
    </row>
    <row r="5" spans="1:2" x14ac:dyDescent="0.3">
      <c r="A5" s="23" t="s">
        <v>17</v>
      </c>
      <c r="B5">
        <v>27.189999999999998</v>
      </c>
    </row>
    <row r="6" spans="1:2" x14ac:dyDescent="0.3">
      <c r="A6" s="23" t="s">
        <v>28</v>
      </c>
      <c r="B6">
        <v>24.930000000000007</v>
      </c>
    </row>
    <row r="7" spans="1:2" x14ac:dyDescent="0.3">
      <c r="A7" s="23" t="s">
        <v>30</v>
      </c>
      <c r="B7">
        <v>24.470000000000002</v>
      </c>
    </row>
    <row r="8" spans="1:2" x14ac:dyDescent="0.3">
      <c r="A8" s="23" t="s">
        <v>25</v>
      </c>
      <c r="B8">
        <v>23.689999999999998</v>
      </c>
    </row>
    <row r="9" spans="1:2" x14ac:dyDescent="0.3">
      <c r="A9" s="23" t="s">
        <v>38</v>
      </c>
      <c r="B9">
        <v>128.10000000000002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FEBEF-BE68-4545-BD57-5F2F1DC9DAD7}">
  <dimension ref="A1:O649"/>
  <sheetViews>
    <sheetView tabSelected="1" zoomScaleNormal="100" workbookViewId="0">
      <selection activeCell="K1" sqref="A1:K1"/>
    </sheetView>
  </sheetViews>
  <sheetFormatPr defaultRowHeight="14.4" x14ac:dyDescent="0.3"/>
  <cols>
    <col min="1" max="1" width="13.21875" bestFit="1" customWidth="1"/>
    <col min="2" max="2" width="11.21875" style="3" bestFit="1" customWidth="1"/>
    <col min="3" max="3" width="10.33203125" bestFit="1" customWidth="1"/>
    <col min="4" max="4" width="12.21875" bestFit="1" customWidth="1"/>
    <col min="5" max="5" width="21.6640625" bestFit="1" customWidth="1"/>
    <col min="6" max="6" width="18.77734375" bestFit="1" customWidth="1"/>
    <col min="7" max="7" width="14.77734375" style="9" bestFit="1" customWidth="1"/>
    <col min="8" max="8" width="14.44140625" style="11" bestFit="1" customWidth="1"/>
    <col min="9" max="9" width="15.33203125" style="11" bestFit="1" customWidth="1"/>
    <col min="10" max="10" width="17.5546875" style="11" bestFit="1" customWidth="1"/>
    <col min="11" max="11" width="14.109375" style="13" bestFit="1" customWidth="1"/>
  </cols>
  <sheetData>
    <row r="1" spans="1:15" ht="15.6" x14ac:dyDescent="0.3">
      <c r="A1" s="5" t="s">
        <v>0</v>
      </c>
      <c r="B1" s="6" t="s">
        <v>1</v>
      </c>
      <c r="C1" s="5" t="s">
        <v>2</v>
      </c>
      <c r="D1" s="5" t="s">
        <v>3</v>
      </c>
      <c r="E1" s="5" t="s">
        <v>4</v>
      </c>
      <c r="F1" s="5" t="s">
        <v>5</v>
      </c>
      <c r="G1" s="8" t="s">
        <v>6</v>
      </c>
      <c r="H1" s="10" t="s">
        <v>7</v>
      </c>
      <c r="I1" s="10" t="s">
        <v>8</v>
      </c>
      <c r="J1" s="10" t="s">
        <v>9</v>
      </c>
      <c r="K1" s="12" t="s">
        <v>10</v>
      </c>
    </row>
    <row r="2" spans="1:15" ht="15.6" customHeight="1" x14ac:dyDescent="0.3">
      <c r="A2" s="5" cm="1">
        <f t="array" ref="A2">1000 + ROW(1:1)</f>
        <v>1001</v>
      </c>
      <c r="B2" s="6">
        <f t="shared" ref="B2:B65" ca="1" si="0">RANDBETWEEN(DATE(2024,1,1), DATE(2024,3,31))</f>
        <v>45363</v>
      </c>
      <c r="C2" s="5" t="str" cm="1">
        <f t="array" aca="1" ref="C2" ca="1">INDEX({"S001","S002","S003","S004","S005"}, RANDBETWEEN(1,5))</f>
        <v>S005</v>
      </c>
      <c r="D2" s="5" t="str" cm="1">
        <f t="array" aca="1" ref="D2" ca="1">INDEX({"Mumbai","Delhi","Bangalore","Ahmedabad","Chennai"}, RANDBETWEEN(1,5))</f>
        <v>Chennai</v>
      </c>
      <c r="E2" s="5" t="str" cm="1">
        <f t="array" aca="1" ref="E2" ca="1">INDEX({"Electronics","Groceries","Furniture","Clothing","Stationery"}, RANDBETWEEN(1,5))</f>
        <v>Clothing</v>
      </c>
      <c r="F2" s="5" t="str">
        <f t="shared" ref="F2:F65" ca="1" si="1">CHOOSE(RANDBETWEEN(1,10),
 "Smartphone","Laptop","Rice 5kg","Cooking Oil 1L",
 "Office Chair","Table","T-shirt","Notebook",
 "Desk Lamp","Shampoo")</f>
        <v>Office Chair</v>
      </c>
      <c r="G2" s="8">
        <f t="shared" ref="G2:G65" ca="1" si="2">RANDBETWEEN(1,100)</f>
        <v>37</v>
      </c>
      <c r="H2" s="10">
        <f t="shared" ref="H2:H65" ca="1" si="3">CHOOSE(RANDBETWEEN(1,10), 15000, 30000, 250, 500, 1200, 700, 300, 50, 900, 150)</f>
        <v>150</v>
      </c>
      <c r="I2" s="10">
        <f t="shared" ref="I2:I65" ca="1" si="4">G2 * H2</f>
        <v>5550</v>
      </c>
      <c r="J2" s="10">
        <f ca="1">Table2[[#This Row],[Unit Price]] * RANDBETWEEN(70,90)/100</f>
        <v>120</v>
      </c>
      <c r="K2" s="12">
        <f ca="1">(Table2[[#This Row],[Unit Price]] - Table2[[#This Row],[Cost per Unit]]) * Table2[[#This Row],[Units Sold]]</f>
        <v>1110</v>
      </c>
    </row>
    <row r="3" spans="1:15" ht="28.8" x14ac:dyDescent="0.3">
      <c r="A3" s="5" cm="1">
        <f t="array" ref="A3">1000 + ROW(3:3)</f>
        <v>1003</v>
      </c>
      <c r="B3" s="6">
        <f t="shared" ca="1" si="0"/>
        <v>45354</v>
      </c>
      <c r="C3" s="5" t="str" cm="1">
        <f t="array" aca="1" ref="C3" ca="1">INDEX({"S001","S002","S003","S004","S005"}, RANDBETWEEN(1,5))</f>
        <v>S001</v>
      </c>
      <c r="D3" s="5" t="str" cm="1">
        <f t="array" aca="1" ref="D3" ca="1">INDEX({"Mumbai","Delhi","Bangalore","Ahmedabad","Chennai"}, RANDBETWEEN(1,5))</f>
        <v>Ahmedabad</v>
      </c>
      <c r="E3" s="5" t="str" cm="1">
        <f t="array" aca="1" ref="E3" ca="1">INDEX({"Electronics","Groceries","Furniture","Clothing","Stationery"}, RANDBETWEEN(1,5))</f>
        <v>Clothing</v>
      </c>
      <c r="F3" s="5" t="str">
        <f t="shared" ca="1" si="1"/>
        <v>Laptop</v>
      </c>
      <c r="G3" s="8">
        <f t="shared" ca="1" si="2"/>
        <v>3</v>
      </c>
      <c r="H3" s="10">
        <f t="shared" ca="1" si="3"/>
        <v>150</v>
      </c>
      <c r="I3" s="10">
        <f t="shared" ca="1" si="4"/>
        <v>450</v>
      </c>
      <c r="J3" s="10">
        <f ca="1">Table2[[#This Row],[Unit Price]] * RANDBETWEEN(70,90)/100</f>
        <v>105</v>
      </c>
      <c r="K3" s="12">
        <f ca="1">(Table2[[#This Row],[Unit Price]] - Table2[[#This Row],[Cost per Unit]]) * Table2[[#This Row],[Units Sold]]</f>
        <v>135</v>
      </c>
      <c r="N3" s="1" t="s">
        <v>22</v>
      </c>
      <c r="O3" s="1" t="s">
        <v>5</v>
      </c>
    </row>
    <row r="4" spans="1:15" ht="28.8" x14ac:dyDescent="0.3">
      <c r="A4" s="5" cm="1">
        <f t="array" ref="A4">1000 + ROW(4:4)</f>
        <v>1004</v>
      </c>
      <c r="B4" s="6">
        <f t="shared" ca="1" si="0"/>
        <v>45350</v>
      </c>
      <c r="C4" s="5" t="str" cm="1">
        <f t="array" aca="1" ref="C4" ca="1">INDEX({"S001","S002","S003","S004","S005"}, RANDBETWEEN(1,5))</f>
        <v>S004</v>
      </c>
      <c r="D4" s="5" t="str" cm="1">
        <f t="array" aca="1" ref="D4" ca="1">INDEX({"Mumbai","Delhi","Bangalore","Ahmedabad","Chennai"}, RANDBETWEEN(1,5))</f>
        <v>Delhi</v>
      </c>
      <c r="E4" s="5" t="str" cm="1">
        <f t="array" aca="1" ref="E4" ca="1">INDEX({"Electronics","Groceries","Furniture","Clothing","Stationery"}, RANDBETWEEN(1,5))</f>
        <v>Stationery</v>
      </c>
      <c r="F4" s="5" t="str">
        <f t="shared" ca="1" si="1"/>
        <v>Office Chair</v>
      </c>
      <c r="G4" s="8">
        <f t="shared" ca="1" si="2"/>
        <v>90</v>
      </c>
      <c r="H4" s="10">
        <f t="shared" ca="1" si="3"/>
        <v>15000</v>
      </c>
      <c r="I4" s="10">
        <f t="shared" ca="1" si="4"/>
        <v>1350000</v>
      </c>
      <c r="J4" s="10">
        <f ca="1">Table2[[#This Row],[Unit Price]] * RANDBETWEEN(70,90)/100</f>
        <v>12750</v>
      </c>
      <c r="K4" s="12">
        <f ca="1">(Table2[[#This Row],[Unit Price]] - Table2[[#This Row],[Cost per Unit]]) * Table2[[#This Row],[Units Sold]]</f>
        <v>202500</v>
      </c>
      <c r="N4" s="2" t="s">
        <v>13</v>
      </c>
      <c r="O4" s="2" t="s">
        <v>14</v>
      </c>
    </row>
    <row r="5" spans="1:15" ht="28.8" x14ac:dyDescent="0.3">
      <c r="A5" s="5" cm="1">
        <f t="array" ref="A5">1000 + ROW(5:5)</f>
        <v>1005</v>
      </c>
      <c r="B5" s="6">
        <f t="shared" ca="1" si="0"/>
        <v>45371</v>
      </c>
      <c r="C5" s="5" t="str" cm="1">
        <f t="array" aca="1" ref="C5" ca="1">INDEX({"S001","S002","S003","S004","S005"}, RANDBETWEEN(1,5))</f>
        <v>S003</v>
      </c>
      <c r="D5" s="5" t="str" cm="1">
        <f t="array" aca="1" ref="D5" ca="1">INDEX({"Mumbai","Delhi","Bangalore","Ahmedabad","Chennai"}, RANDBETWEEN(1,5))</f>
        <v>Delhi</v>
      </c>
      <c r="E5" s="5" t="str" cm="1">
        <f t="array" aca="1" ref="E5" ca="1">INDEX({"Electronics","Groceries","Furniture","Clothing","Stationery"}, RANDBETWEEN(1,5))</f>
        <v>Clothing</v>
      </c>
      <c r="F5" s="5" t="str">
        <f t="shared" ca="1" si="1"/>
        <v>Table</v>
      </c>
      <c r="G5" s="8">
        <f t="shared" ca="1" si="2"/>
        <v>34</v>
      </c>
      <c r="H5" s="10">
        <f t="shared" ca="1" si="3"/>
        <v>700</v>
      </c>
      <c r="I5" s="10">
        <f t="shared" ca="1" si="4"/>
        <v>23800</v>
      </c>
      <c r="J5" s="10">
        <f ca="1">Table2[[#This Row],[Unit Price]] * RANDBETWEEN(70,90)/100</f>
        <v>490</v>
      </c>
      <c r="K5" s="12">
        <f ca="1">(Table2[[#This Row],[Unit Price]] - Table2[[#This Row],[Cost per Unit]]) * Table2[[#This Row],[Units Sold]]</f>
        <v>7140</v>
      </c>
      <c r="N5" s="2" t="s">
        <v>13</v>
      </c>
      <c r="O5" s="2" t="s">
        <v>23</v>
      </c>
    </row>
    <row r="6" spans="1:15" ht="28.8" x14ac:dyDescent="0.3">
      <c r="A6" s="5" cm="1">
        <f t="array" ref="A6">1000 + ROW(6:6)</f>
        <v>1006</v>
      </c>
      <c r="B6" s="6">
        <f t="shared" ca="1" si="0"/>
        <v>45369</v>
      </c>
      <c r="C6" s="5" t="str" cm="1">
        <f t="array" aca="1" ref="C6" ca="1">INDEX({"S001","S002","S003","S004","S005"}, RANDBETWEEN(1,5))</f>
        <v>S001</v>
      </c>
      <c r="D6" s="5" t="str" cm="1">
        <f t="array" aca="1" ref="D6" ca="1">INDEX({"Mumbai","Delhi","Bangalore","Ahmedabad","Chennai"}, RANDBETWEEN(1,5))</f>
        <v>Bangalore</v>
      </c>
      <c r="E6" s="5" t="str" cm="1">
        <f t="array" aca="1" ref="E6" ca="1">INDEX({"Electronics","Groceries","Furniture","Clothing","Stationery"}, RANDBETWEEN(1,5))</f>
        <v>Furniture</v>
      </c>
      <c r="F6" s="5" t="str">
        <f t="shared" ca="1" si="1"/>
        <v>Rice 5kg</v>
      </c>
      <c r="G6" s="8">
        <f t="shared" ca="1" si="2"/>
        <v>86</v>
      </c>
      <c r="H6" s="10">
        <f t="shared" ca="1" si="3"/>
        <v>1200</v>
      </c>
      <c r="I6" s="10">
        <f t="shared" ca="1" si="4"/>
        <v>103200</v>
      </c>
      <c r="J6" s="10">
        <f ca="1">Table2[[#This Row],[Unit Price]] * RANDBETWEEN(70,90)/100</f>
        <v>900</v>
      </c>
      <c r="K6" s="12">
        <f ca="1">(Table2[[#This Row],[Unit Price]] - Table2[[#This Row],[Cost per Unit]]) * Table2[[#This Row],[Units Sold]]</f>
        <v>25800</v>
      </c>
      <c r="N6" s="2" t="s">
        <v>17</v>
      </c>
      <c r="O6" s="2" t="s">
        <v>18</v>
      </c>
    </row>
    <row r="7" spans="1:15" ht="28.8" x14ac:dyDescent="0.3">
      <c r="A7" s="5" cm="1">
        <f t="array" ref="A7">1000 + ROW(7:7)</f>
        <v>1007</v>
      </c>
      <c r="B7" s="6">
        <f t="shared" ca="1" si="0"/>
        <v>45342</v>
      </c>
      <c r="C7" s="5" t="str" cm="1">
        <f t="array" aca="1" ref="C7" ca="1">INDEX({"S001","S002","S003","S004","S005"}, RANDBETWEEN(1,5))</f>
        <v>S001</v>
      </c>
      <c r="D7" s="5" t="str" cm="1">
        <f t="array" aca="1" ref="D7" ca="1">INDEX({"Mumbai","Delhi","Bangalore","Ahmedabad","Chennai"}, RANDBETWEEN(1,5))</f>
        <v>Chennai</v>
      </c>
      <c r="E7" s="5" t="str" cm="1">
        <f t="array" aca="1" ref="E7" ca="1">INDEX({"Electronics","Groceries","Furniture","Clothing","Stationery"}, RANDBETWEEN(1,5))</f>
        <v>Stationery</v>
      </c>
      <c r="F7" s="5" t="str">
        <f t="shared" ca="1" si="1"/>
        <v>Shampoo</v>
      </c>
      <c r="G7" s="8">
        <f t="shared" ca="1" si="2"/>
        <v>30</v>
      </c>
      <c r="H7" s="10">
        <f t="shared" ca="1" si="3"/>
        <v>150</v>
      </c>
      <c r="I7" s="10">
        <f t="shared" ca="1" si="4"/>
        <v>4500</v>
      </c>
      <c r="J7" s="10">
        <f ca="1">Table2[[#This Row],[Unit Price]] * RANDBETWEEN(70,90)/100</f>
        <v>111</v>
      </c>
      <c r="K7" s="12">
        <f ca="1">(Table2[[#This Row],[Unit Price]] - Table2[[#This Row],[Cost per Unit]]) * Table2[[#This Row],[Units Sold]]</f>
        <v>1170</v>
      </c>
      <c r="N7" s="2" t="s">
        <v>17</v>
      </c>
      <c r="O7" s="2" t="s">
        <v>24</v>
      </c>
    </row>
    <row r="8" spans="1:15" ht="28.8" x14ac:dyDescent="0.3">
      <c r="A8" s="5" cm="1">
        <f t="array" ref="A8">1000 + ROW(8:8)</f>
        <v>1008</v>
      </c>
      <c r="B8" s="6">
        <f t="shared" ca="1" si="0"/>
        <v>45358</v>
      </c>
      <c r="C8" s="5" t="str" cm="1">
        <f t="array" aca="1" ref="C8" ca="1">INDEX({"S001","S002","S003","S004","S005"}, RANDBETWEEN(1,5))</f>
        <v>S002</v>
      </c>
      <c r="D8" s="5" t="str" cm="1">
        <f t="array" aca="1" ref="D8" ca="1">INDEX({"Mumbai","Delhi","Bangalore","Ahmedabad","Chennai"}, RANDBETWEEN(1,5))</f>
        <v>Delhi</v>
      </c>
      <c r="E8" s="5" t="str" cm="1">
        <f t="array" aca="1" ref="E8" ca="1">INDEX({"Electronics","Groceries","Furniture","Clothing","Stationery"}, RANDBETWEEN(1,5))</f>
        <v>Groceries</v>
      </c>
      <c r="F8" s="5" t="str">
        <f t="shared" ca="1" si="1"/>
        <v>Desk Lamp</v>
      </c>
      <c r="G8" s="8">
        <f t="shared" ca="1" si="2"/>
        <v>8</v>
      </c>
      <c r="H8" s="10">
        <f t="shared" ca="1" si="3"/>
        <v>1200</v>
      </c>
      <c r="I8" s="10">
        <f t="shared" ca="1" si="4"/>
        <v>9600</v>
      </c>
      <c r="J8" s="10">
        <f ca="1">Table2[[#This Row],[Unit Price]] * RANDBETWEEN(70,90)/100</f>
        <v>888</v>
      </c>
      <c r="K8" s="12">
        <f ca="1">(Table2[[#This Row],[Unit Price]] - Table2[[#This Row],[Cost per Unit]]) * Table2[[#This Row],[Units Sold]]</f>
        <v>2496</v>
      </c>
      <c r="N8" s="2" t="s">
        <v>25</v>
      </c>
      <c r="O8" s="2" t="s">
        <v>26</v>
      </c>
    </row>
    <row r="9" spans="1:15" ht="15.6" x14ac:dyDescent="0.3">
      <c r="A9" s="5" cm="1">
        <f t="array" ref="A9">1000 + ROW(9:9)</f>
        <v>1009</v>
      </c>
      <c r="B9" s="6">
        <f t="shared" ca="1" si="0"/>
        <v>45373</v>
      </c>
      <c r="C9" s="5" t="str" cm="1">
        <f t="array" aca="1" ref="C9" ca="1">INDEX({"S001","S002","S003","S004","S005"}, RANDBETWEEN(1,5))</f>
        <v>S003</v>
      </c>
      <c r="D9" s="5" t="str" cm="1">
        <f t="array" aca="1" ref="D9" ca="1">INDEX({"Mumbai","Delhi","Bangalore","Ahmedabad","Chennai"}, RANDBETWEEN(1,5))</f>
        <v>Mumbai</v>
      </c>
      <c r="E9" s="5" t="str" cm="1">
        <f t="array" aca="1" ref="E9" ca="1">INDEX({"Electronics","Groceries","Furniture","Clothing","Stationery"}, RANDBETWEEN(1,5))</f>
        <v>Groceries</v>
      </c>
      <c r="F9" s="5" t="str">
        <f t="shared" ca="1" si="1"/>
        <v>Notebook</v>
      </c>
      <c r="G9" s="8">
        <f t="shared" ca="1" si="2"/>
        <v>81</v>
      </c>
      <c r="H9" s="10">
        <f t="shared" ca="1" si="3"/>
        <v>300</v>
      </c>
      <c r="I9" s="10">
        <f t="shared" ca="1" si="4"/>
        <v>24300</v>
      </c>
      <c r="J9" s="10">
        <f ca="1">Table2[[#This Row],[Unit Price]] * RANDBETWEEN(70,90)/100</f>
        <v>237</v>
      </c>
      <c r="K9" s="12">
        <f ca="1">(Table2[[#This Row],[Unit Price]] - Table2[[#This Row],[Cost per Unit]]) * Table2[[#This Row],[Units Sold]]</f>
        <v>5103</v>
      </c>
      <c r="N9" s="2" t="s">
        <v>25</v>
      </c>
      <c r="O9" s="2" t="s">
        <v>27</v>
      </c>
    </row>
    <row r="10" spans="1:15" ht="15.6" x14ac:dyDescent="0.3">
      <c r="A10" s="5" cm="1">
        <f t="array" ref="A10">1000 + ROW(10:10)</f>
        <v>1010</v>
      </c>
      <c r="B10" s="6">
        <f t="shared" ca="1" si="0"/>
        <v>45334</v>
      </c>
      <c r="C10" s="5" t="str" cm="1">
        <f t="array" aca="1" ref="C10" ca="1">INDEX({"S001","S002","S003","S004","S005"}, RANDBETWEEN(1,5))</f>
        <v>S002</v>
      </c>
      <c r="D10" s="5" t="str" cm="1">
        <f t="array" aca="1" ref="D10" ca="1">INDEX({"Mumbai","Delhi","Bangalore","Ahmedabad","Chennai"}, RANDBETWEEN(1,5))</f>
        <v>Mumbai</v>
      </c>
      <c r="E10" s="5" t="str" cm="1">
        <f t="array" aca="1" ref="E10" ca="1">INDEX({"Electronics","Groceries","Furniture","Clothing","Stationery"}, RANDBETWEEN(1,5))</f>
        <v>Groceries</v>
      </c>
      <c r="F10" s="5" t="str">
        <f t="shared" ca="1" si="1"/>
        <v>Shampoo</v>
      </c>
      <c r="G10" s="8">
        <f t="shared" ca="1" si="2"/>
        <v>41</v>
      </c>
      <c r="H10" s="10">
        <f t="shared" ca="1" si="3"/>
        <v>30000</v>
      </c>
      <c r="I10" s="10">
        <f t="shared" ca="1" si="4"/>
        <v>1230000</v>
      </c>
      <c r="J10" s="10">
        <f ca="1">Table2[[#This Row],[Unit Price]] * RANDBETWEEN(70,90)/100</f>
        <v>24300</v>
      </c>
      <c r="K10" s="12">
        <f ca="1">(Table2[[#This Row],[Unit Price]] - Table2[[#This Row],[Cost per Unit]]) * Table2[[#This Row],[Units Sold]]</f>
        <v>233700</v>
      </c>
      <c r="N10" s="2" t="s">
        <v>28</v>
      </c>
      <c r="O10" s="2" t="s">
        <v>29</v>
      </c>
    </row>
    <row r="11" spans="1:15" ht="28.8" x14ac:dyDescent="0.3">
      <c r="A11" s="5" cm="1">
        <f t="array" ref="A11">1000 + ROW(11:11)</f>
        <v>1011</v>
      </c>
      <c r="B11" s="6">
        <f t="shared" ca="1" si="0"/>
        <v>45365</v>
      </c>
      <c r="C11" s="5" t="str" cm="1">
        <f t="array" aca="1" ref="C11" ca="1">INDEX({"S001","S002","S003","S004","S005"}, RANDBETWEEN(1,5))</f>
        <v>S004</v>
      </c>
      <c r="D11" s="5" t="str" cm="1">
        <f t="array" aca="1" ref="D11" ca="1">INDEX({"Mumbai","Delhi","Bangalore","Ahmedabad","Chennai"}, RANDBETWEEN(1,5))</f>
        <v>Bangalore</v>
      </c>
      <c r="E11" s="5" t="str" cm="1">
        <f t="array" aca="1" ref="E11" ca="1">INDEX({"Electronics","Groceries","Furniture","Clothing","Stationery"}, RANDBETWEEN(1,5))</f>
        <v>Stationery</v>
      </c>
      <c r="F11" s="5" t="str">
        <f t="shared" ca="1" si="1"/>
        <v>Shampoo</v>
      </c>
      <c r="G11" s="8">
        <f t="shared" ca="1" si="2"/>
        <v>51</v>
      </c>
      <c r="H11" s="10">
        <f t="shared" ca="1" si="3"/>
        <v>300</v>
      </c>
      <c r="I11" s="10">
        <f t="shared" ca="1" si="4"/>
        <v>15300</v>
      </c>
      <c r="J11" s="10">
        <f ca="1">Table2[[#This Row],[Unit Price]] * RANDBETWEEN(70,90)/100</f>
        <v>267</v>
      </c>
      <c r="K11" s="12">
        <f ca="1">(Table2[[#This Row],[Unit Price]] - Table2[[#This Row],[Cost per Unit]]) * Table2[[#This Row],[Units Sold]]</f>
        <v>1683</v>
      </c>
      <c r="N11" s="2" t="s">
        <v>30</v>
      </c>
      <c r="O11" s="2" t="s">
        <v>31</v>
      </c>
    </row>
    <row r="12" spans="1:15" ht="15.6" x14ac:dyDescent="0.3">
      <c r="A12" s="5" cm="1">
        <f t="array" ref="A12">1000 + ROW(12:12)</f>
        <v>1012</v>
      </c>
      <c r="B12" s="6">
        <f t="shared" ca="1" si="0"/>
        <v>45349</v>
      </c>
      <c r="C12" s="5" t="str" cm="1">
        <f t="array" aca="1" ref="C12" ca="1">INDEX({"S001","S002","S003","S004","S005"}, RANDBETWEEN(1,5))</f>
        <v>S002</v>
      </c>
      <c r="D12" s="5" t="str" cm="1">
        <f t="array" aca="1" ref="D12" ca="1">INDEX({"Mumbai","Delhi","Bangalore","Ahmedabad","Chennai"}, RANDBETWEEN(1,5))</f>
        <v>Ahmedabad</v>
      </c>
      <c r="E12" s="5" t="str" cm="1">
        <f t="array" aca="1" ref="E12" ca="1">INDEX({"Electronics","Groceries","Furniture","Clothing","Stationery"}, RANDBETWEEN(1,5))</f>
        <v>Stationery</v>
      </c>
      <c r="F12" s="5" t="str">
        <f t="shared" ca="1" si="1"/>
        <v>Desk Lamp</v>
      </c>
      <c r="G12" s="8">
        <f t="shared" ca="1" si="2"/>
        <v>22</v>
      </c>
      <c r="H12" s="10">
        <f t="shared" ca="1" si="3"/>
        <v>900</v>
      </c>
      <c r="I12" s="10">
        <f t="shared" ca="1" si="4"/>
        <v>19800</v>
      </c>
      <c r="J12" s="10">
        <f ca="1">Table2[[#This Row],[Unit Price]] * RANDBETWEEN(70,90)/100</f>
        <v>747</v>
      </c>
      <c r="K12" s="12">
        <f ca="1">(Table2[[#This Row],[Unit Price]] - Table2[[#This Row],[Cost per Unit]]) * Table2[[#This Row],[Units Sold]]</f>
        <v>3366</v>
      </c>
    </row>
    <row r="13" spans="1:15" ht="15.6" x14ac:dyDescent="0.3">
      <c r="A13" s="5" cm="1">
        <f t="array" ref="A13">1000 + ROW(13:13)</f>
        <v>1013</v>
      </c>
      <c r="B13" s="6">
        <f t="shared" ca="1" si="0"/>
        <v>45292</v>
      </c>
      <c r="C13" s="5" t="str" cm="1">
        <f t="array" aca="1" ref="C13" ca="1">INDEX({"S001","S002","S003","S004","S005"}, RANDBETWEEN(1,5))</f>
        <v>S003</v>
      </c>
      <c r="D13" s="5" t="str" cm="1">
        <f t="array" aca="1" ref="D13" ca="1">INDEX({"Mumbai","Delhi","Bangalore","Ahmedabad","Chennai"}, RANDBETWEEN(1,5))</f>
        <v>Bangalore</v>
      </c>
      <c r="E13" s="5" t="str" cm="1">
        <f t="array" aca="1" ref="E13" ca="1">INDEX({"Electronics","Groceries","Furniture","Clothing","Stationery"}, RANDBETWEEN(1,5))</f>
        <v>Stationery</v>
      </c>
      <c r="F13" s="5" t="str">
        <f t="shared" ca="1" si="1"/>
        <v>Table</v>
      </c>
      <c r="G13" s="8">
        <f t="shared" ca="1" si="2"/>
        <v>38</v>
      </c>
      <c r="H13" s="10">
        <f t="shared" ca="1" si="3"/>
        <v>1200</v>
      </c>
      <c r="I13" s="10">
        <f t="shared" ca="1" si="4"/>
        <v>45600</v>
      </c>
      <c r="J13" s="10">
        <f ca="1">Table2[[#This Row],[Unit Price]] * RANDBETWEEN(70,90)/100</f>
        <v>996</v>
      </c>
      <c r="K13" s="12">
        <f ca="1">(Table2[[#This Row],[Unit Price]] - Table2[[#This Row],[Cost per Unit]]) * Table2[[#This Row],[Units Sold]]</f>
        <v>7752</v>
      </c>
    </row>
    <row r="14" spans="1:15" ht="15.6" x14ac:dyDescent="0.3">
      <c r="A14" s="5" cm="1">
        <f t="array" ref="A14">1000 + ROW(14:14)</f>
        <v>1014</v>
      </c>
      <c r="B14" s="6">
        <f t="shared" ca="1" si="0"/>
        <v>45296</v>
      </c>
      <c r="C14" s="5" t="str" cm="1">
        <f t="array" aca="1" ref="C14" ca="1">INDEX({"S001","S002","S003","S004","S005"}, RANDBETWEEN(1,5))</f>
        <v>S002</v>
      </c>
      <c r="D14" s="5" t="str" cm="1">
        <f t="array" aca="1" ref="D14" ca="1">INDEX({"Mumbai","Delhi","Bangalore","Ahmedabad","Chennai"}, RANDBETWEEN(1,5))</f>
        <v>Chennai</v>
      </c>
      <c r="E14" s="5" t="str" cm="1">
        <f t="array" aca="1" ref="E14" ca="1">INDEX({"Electronics","Groceries","Furniture","Clothing","Stationery"}, RANDBETWEEN(1,5))</f>
        <v>Electronics</v>
      </c>
      <c r="F14" s="5" t="str">
        <f t="shared" ca="1" si="1"/>
        <v>T-shirt</v>
      </c>
      <c r="G14" s="8">
        <f t="shared" ca="1" si="2"/>
        <v>49</v>
      </c>
      <c r="H14" s="10">
        <f t="shared" ca="1" si="3"/>
        <v>300</v>
      </c>
      <c r="I14" s="10">
        <f t="shared" ca="1" si="4"/>
        <v>14700</v>
      </c>
      <c r="J14" s="10">
        <f ca="1">Table2[[#This Row],[Unit Price]] * RANDBETWEEN(70,90)/100</f>
        <v>246</v>
      </c>
      <c r="K14" s="12">
        <f ca="1">(Table2[[#This Row],[Unit Price]] - Table2[[#This Row],[Cost per Unit]]) * Table2[[#This Row],[Units Sold]]</f>
        <v>2646</v>
      </c>
    </row>
    <row r="15" spans="1:15" ht="15.6" x14ac:dyDescent="0.3">
      <c r="A15" s="5" cm="1">
        <f t="array" ref="A15">1000 + ROW(15:15)</f>
        <v>1015</v>
      </c>
      <c r="B15" s="6">
        <f t="shared" ca="1" si="0"/>
        <v>45322</v>
      </c>
      <c r="C15" s="5" t="str" cm="1">
        <f t="array" aca="1" ref="C15" ca="1">INDEX({"S001","S002","S003","S004","S005"}, RANDBETWEEN(1,5))</f>
        <v>S004</v>
      </c>
      <c r="D15" s="5" t="str" cm="1">
        <f t="array" aca="1" ref="D15" ca="1">INDEX({"Mumbai","Delhi","Bangalore","Ahmedabad","Chennai"}, RANDBETWEEN(1,5))</f>
        <v>Delhi</v>
      </c>
      <c r="E15" s="5" t="str" cm="1">
        <f t="array" aca="1" ref="E15" ca="1">INDEX({"Electronics","Groceries","Furniture","Clothing","Stationery"}, RANDBETWEEN(1,5))</f>
        <v>Electronics</v>
      </c>
      <c r="F15" s="5" t="str">
        <f t="shared" ca="1" si="1"/>
        <v>Smartphone</v>
      </c>
      <c r="G15" s="8">
        <f t="shared" ca="1" si="2"/>
        <v>47</v>
      </c>
      <c r="H15" s="10">
        <f t="shared" ca="1" si="3"/>
        <v>50</v>
      </c>
      <c r="I15" s="10">
        <f t="shared" ca="1" si="4"/>
        <v>2350</v>
      </c>
      <c r="J15" s="10">
        <f ca="1">Table2[[#This Row],[Unit Price]] * RANDBETWEEN(70,90)/100</f>
        <v>43</v>
      </c>
      <c r="K15" s="12">
        <f ca="1">(Table2[[#This Row],[Unit Price]] - Table2[[#This Row],[Cost per Unit]]) * Table2[[#This Row],[Units Sold]]</f>
        <v>329</v>
      </c>
    </row>
    <row r="16" spans="1:15" ht="15.6" x14ac:dyDescent="0.3">
      <c r="A16" s="5" cm="1">
        <f t="array" ref="A16">1000 + ROW(16:16)</f>
        <v>1016</v>
      </c>
      <c r="B16" s="6">
        <f t="shared" ca="1" si="0"/>
        <v>45357</v>
      </c>
      <c r="C16" s="5" t="str" cm="1">
        <f t="array" aca="1" ref="C16" ca="1">INDEX({"S001","S002","S003","S004","S005"}, RANDBETWEEN(1,5))</f>
        <v>S005</v>
      </c>
      <c r="D16" s="5" t="str" cm="1">
        <f t="array" aca="1" ref="D16" ca="1">INDEX({"Mumbai","Delhi","Bangalore","Ahmedabad","Chennai"}, RANDBETWEEN(1,5))</f>
        <v>Chennai</v>
      </c>
      <c r="E16" s="5" t="str" cm="1">
        <f t="array" aca="1" ref="E16" ca="1">INDEX({"Electronics","Groceries","Furniture","Clothing","Stationery"}, RANDBETWEEN(1,5))</f>
        <v>Clothing</v>
      </c>
      <c r="F16" s="5" t="str">
        <f t="shared" ca="1" si="1"/>
        <v>Smartphone</v>
      </c>
      <c r="G16" s="8">
        <f t="shared" ca="1" si="2"/>
        <v>38</v>
      </c>
      <c r="H16" s="10">
        <f t="shared" ca="1" si="3"/>
        <v>30000</v>
      </c>
      <c r="I16" s="10">
        <f t="shared" ca="1" si="4"/>
        <v>1140000</v>
      </c>
      <c r="J16" s="10">
        <f ca="1">Table2[[#This Row],[Unit Price]] * RANDBETWEEN(70,90)/100</f>
        <v>24000</v>
      </c>
      <c r="K16" s="12">
        <f ca="1">(Table2[[#This Row],[Unit Price]] - Table2[[#This Row],[Cost per Unit]]) * Table2[[#This Row],[Units Sold]]</f>
        <v>228000</v>
      </c>
    </row>
    <row r="17" spans="1:11" ht="15.6" x14ac:dyDescent="0.3">
      <c r="A17" s="5" cm="1">
        <f t="array" ref="A17">1000 + ROW(17:17)</f>
        <v>1017</v>
      </c>
      <c r="B17" s="6">
        <f t="shared" ca="1" si="0"/>
        <v>45328</v>
      </c>
      <c r="C17" s="5" t="str" cm="1">
        <f t="array" aca="1" ref="C17" ca="1">INDEX({"S001","S002","S003","S004","S005"}, RANDBETWEEN(1,5))</f>
        <v>S005</v>
      </c>
      <c r="D17" s="5" t="str" cm="1">
        <f t="array" aca="1" ref="D17" ca="1">INDEX({"Mumbai","Delhi","Bangalore","Ahmedabad","Chennai"}, RANDBETWEEN(1,5))</f>
        <v>Delhi</v>
      </c>
      <c r="E17" s="5" t="str" cm="1">
        <f t="array" aca="1" ref="E17" ca="1">INDEX({"Electronics","Groceries","Furniture","Clothing","Stationery"}, RANDBETWEEN(1,5))</f>
        <v>Electronics</v>
      </c>
      <c r="F17" s="5" t="str">
        <f t="shared" ca="1" si="1"/>
        <v>Desk Lamp</v>
      </c>
      <c r="G17" s="8">
        <f t="shared" ca="1" si="2"/>
        <v>62</v>
      </c>
      <c r="H17" s="10">
        <f t="shared" ca="1" si="3"/>
        <v>15000</v>
      </c>
      <c r="I17" s="10">
        <f t="shared" ca="1" si="4"/>
        <v>930000</v>
      </c>
      <c r="J17" s="10">
        <f ca="1">Table2[[#This Row],[Unit Price]] * RANDBETWEEN(70,90)/100</f>
        <v>11400</v>
      </c>
      <c r="K17" s="12">
        <f ca="1">(Table2[[#This Row],[Unit Price]] - Table2[[#This Row],[Cost per Unit]]) * Table2[[#This Row],[Units Sold]]</f>
        <v>223200</v>
      </c>
    </row>
    <row r="18" spans="1:11" ht="15.6" x14ac:dyDescent="0.3">
      <c r="A18" s="5" cm="1">
        <f t="array" ref="A18">1000 + ROW(18:18)</f>
        <v>1018</v>
      </c>
      <c r="B18" s="6">
        <f t="shared" ca="1" si="0"/>
        <v>45329</v>
      </c>
      <c r="C18" s="5" t="str" cm="1">
        <f t="array" aca="1" ref="C18" ca="1">INDEX({"S001","S002","S003","S004","S005"}, RANDBETWEEN(1,5))</f>
        <v>S005</v>
      </c>
      <c r="D18" s="5" t="str" cm="1">
        <f t="array" aca="1" ref="D18" ca="1">INDEX({"Mumbai","Delhi","Bangalore","Ahmedabad","Chennai"}, RANDBETWEEN(1,5))</f>
        <v>Delhi</v>
      </c>
      <c r="E18" s="5" t="str" cm="1">
        <f t="array" aca="1" ref="E18" ca="1">INDEX({"Electronics","Groceries","Furniture","Clothing","Stationery"}, RANDBETWEEN(1,5))</f>
        <v>Electronics</v>
      </c>
      <c r="F18" s="5" t="str">
        <f t="shared" ca="1" si="1"/>
        <v>Table</v>
      </c>
      <c r="G18" s="8">
        <f t="shared" ca="1" si="2"/>
        <v>81</v>
      </c>
      <c r="H18" s="10">
        <f t="shared" ca="1" si="3"/>
        <v>150</v>
      </c>
      <c r="I18" s="10">
        <f t="shared" ca="1" si="4"/>
        <v>12150</v>
      </c>
      <c r="J18" s="10">
        <f ca="1">Table2[[#This Row],[Unit Price]] * RANDBETWEEN(70,90)/100</f>
        <v>132</v>
      </c>
      <c r="K18" s="12">
        <f ca="1">(Table2[[#This Row],[Unit Price]] - Table2[[#This Row],[Cost per Unit]]) * Table2[[#This Row],[Units Sold]]</f>
        <v>1458</v>
      </c>
    </row>
    <row r="19" spans="1:11" ht="15.6" x14ac:dyDescent="0.3">
      <c r="A19" s="5" cm="1">
        <f t="array" ref="A19">1000 + ROW(19:19)</f>
        <v>1019</v>
      </c>
      <c r="B19" s="6">
        <f t="shared" ca="1" si="0"/>
        <v>45317</v>
      </c>
      <c r="C19" s="5" t="str" cm="1">
        <f t="array" aca="1" ref="C19" ca="1">INDEX({"S001","S002","S003","S004","S005"}, RANDBETWEEN(1,5))</f>
        <v>S003</v>
      </c>
      <c r="D19" s="5" t="str" cm="1">
        <f t="array" aca="1" ref="D19" ca="1">INDEX({"Mumbai","Delhi","Bangalore","Ahmedabad","Chennai"}, RANDBETWEEN(1,5))</f>
        <v>Ahmedabad</v>
      </c>
      <c r="E19" s="5" t="str" cm="1">
        <f t="array" aca="1" ref="E19" ca="1">INDEX({"Electronics","Groceries","Furniture","Clothing","Stationery"}, RANDBETWEEN(1,5))</f>
        <v>Stationery</v>
      </c>
      <c r="F19" s="5" t="str">
        <f t="shared" ca="1" si="1"/>
        <v>Shampoo</v>
      </c>
      <c r="G19" s="8">
        <f t="shared" ca="1" si="2"/>
        <v>60</v>
      </c>
      <c r="H19" s="10">
        <f t="shared" ca="1" si="3"/>
        <v>150</v>
      </c>
      <c r="I19" s="10">
        <f t="shared" ca="1" si="4"/>
        <v>9000</v>
      </c>
      <c r="J19" s="10">
        <f ca="1">Table2[[#This Row],[Unit Price]] * RANDBETWEEN(70,90)/100</f>
        <v>120</v>
      </c>
      <c r="K19" s="12">
        <f ca="1">(Table2[[#This Row],[Unit Price]] - Table2[[#This Row],[Cost per Unit]]) * Table2[[#This Row],[Units Sold]]</f>
        <v>1800</v>
      </c>
    </row>
    <row r="20" spans="1:11" ht="15.6" x14ac:dyDescent="0.3">
      <c r="A20" s="5" cm="1">
        <f t="array" ref="A20">1000 + ROW(20:20)</f>
        <v>1020</v>
      </c>
      <c r="B20" s="6">
        <f t="shared" ca="1" si="0"/>
        <v>45365</v>
      </c>
      <c r="C20" s="5" t="str" cm="1">
        <f t="array" aca="1" ref="C20" ca="1">INDEX({"S001","S002","S003","S004","S005"}, RANDBETWEEN(1,5))</f>
        <v>S003</v>
      </c>
      <c r="D20" s="5" t="str" cm="1">
        <f t="array" aca="1" ref="D20" ca="1">INDEX({"Mumbai","Delhi","Bangalore","Ahmedabad","Chennai"}, RANDBETWEEN(1,5))</f>
        <v>Mumbai</v>
      </c>
      <c r="E20" s="5" t="str" cm="1">
        <f t="array" aca="1" ref="E20" ca="1">INDEX({"Electronics","Groceries","Furniture","Clothing","Stationery"}, RANDBETWEEN(1,5))</f>
        <v>Clothing</v>
      </c>
      <c r="F20" s="5" t="str">
        <f t="shared" ca="1" si="1"/>
        <v>Office Chair</v>
      </c>
      <c r="G20" s="8">
        <f t="shared" ca="1" si="2"/>
        <v>55</v>
      </c>
      <c r="H20" s="10">
        <f t="shared" ca="1" si="3"/>
        <v>700</v>
      </c>
      <c r="I20" s="10">
        <f t="shared" ca="1" si="4"/>
        <v>38500</v>
      </c>
      <c r="J20" s="10">
        <f ca="1">Table2[[#This Row],[Unit Price]] * RANDBETWEEN(70,90)/100</f>
        <v>490</v>
      </c>
      <c r="K20" s="12">
        <f ca="1">(Table2[[#This Row],[Unit Price]] - Table2[[#This Row],[Cost per Unit]]) * Table2[[#This Row],[Units Sold]]</f>
        <v>11550</v>
      </c>
    </row>
    <row r="21" spans="1:11" ht="15.6" x14ac:dyDescent="0.3">
      <c r="A21" s="5" cm="1">
        <f t="array" ref="A21">1000 + ROW(21:21)</f>
        <v>1021</v>
      </c>
      <c r="B21" s="6">
        <f t="shared" ca="1" si="0"/>
        <v>45299</v>
      </c>
      <c r="C21" s="5" t="str" cm="1">
        <f t="array" aca="1" ref="C21" ca="1">INDEX({"S001","S002","S003","S004","S005"}, RANDBETWEEN(1,5))</f>
        <v>S003</v>
      </c>
      <c r="D21" s="5" t="str" cm="1">
        <f t="array" aca="1" ref="D21" ca="1">INDEX({"Mumbai","Delhi","Bangalore","Ahmedabad","Chennai"}, RANDBETWEEN(1,5))</f>
        <v>Delhi</v>
      </c>
      <c r="E21" s="5" t="str" cm="1">
        <f t="array" aca="1" ref="E21" ca="1">INDEX({"Electronics","Groceries","Furniture","Clothing","Stationery"}, RANDBETWEEN(1,5))</f>
        <v>Clothing</v>
      </c>
      <c r="F21" s="5" t="str">
        <f t="shared" ca="1" si="1"/>
        <v>Office Chair</v>
      </c>
      <c r="G21" s="8">
        <f t="shared" ca="1" si="2"/>
        <v>91</v>
      </c>
      <c r="H21" s="10">
        <f t="shared" ca="1" si="3"/>
        <v>1200</v>
      </c>
      <c r="I21" s="10">
        <f t="shared" ca="1" si="4"/>
        <v>109200</v>
      </c>
      <c r="J21" s="10">
        <f ca="1">Table2[[#This Row],[Unit Price]] * RANDBETWEEN(70,90)/100</f>
        <v>924</v>
      </c>
      <c r="K21" s="12">
        <f ca="1">(Table2[[#This Row],[Unit Price]] - Table2[[#This Row],[Cost per Unit]]) * Table2[[#This Row],[Units Sold]]</f>
        <v>25116</v>
      </c>
    </row>
    <row r="22" spans="1:11" ht="15.6" x14ac:dyDescent="0.3">
      <c r="A22" s="5" cm="1">
        <f t="array" ref="A22">1000 + ROW(22:22)</f>
        <v>1022</v>
      </c>
      <c r="B22" s="6">
        <f t="shared" ca="1" si="0"/>
        <v>45319</v>
      </c>
      <c r="C22" s="5" t="str" cm="1">
        <f t="array" aca="1" ref="C22" ca="1">INDEX({"S001","S002","S003","S004","S005"}, RANDBETWEEN(1,5))</f>
        <v>S004</v>
      </c>
      <c r="D22" s="5" t="str" cm="1">
        <f t="array" aca="1" ref="D22" ca="1">INDEX({"Mumbai","Delhi","Bangalore","Ahmedabad","Chennai"}, RANDBETWEEN(1,5))</f>
        <v>Ahmedabad</v>
      </c>
      <c r="E22" s="5" t="str" cm="1">
        <f t="array" aca="1" ref="E22" ca="1">INDEX({"Electronics","Groceries","Furniture","Clothing","Stationery"}, RANDBETWEEN(1,5))</f>
        <v>Clothing</v>
      </c>
      <c r="F22" s="5" t="str">
        <f t="shared" ca="1" si="1"/>
        <v>Smartphone</v>
      </c>
      <c r="G22" s="8">
        <f t="shared" ca="1" si="2"/>
        <v>66</v>
      </c>
      <c r="H22" s="10">
        <f t="shared" ca="1" si="3"/>
        <v>700</v>
      </c>
      <c r="I22" s="10">
        <f t="shared" ca="1" si="4"/>
        <v>46200</v>
      </c>
      <c r="J22" s="10">
        <f ca="1">Table2[[#This Row],[Unit Price]] * RANDBETWEEN(70,90)/100</f>
        <v>581</v>
      </c>
      <c r="K22" s="12">
        <f ca="1">(Table2[[#This Row],[Unit Price]] - Table2[[#This Row],[Cost per Unit]]) * Table2[[#This Row],[Units Sold]]</f>
        <v>7854</v>
      </c>
    </row>
    <row r="23" spans="1:11" ht="15.6" x14ac:dyDescent="0.3">
      <c r="A23" s="5" cm="1">
        <f t="array" ref="A23">1000 + ROW(23:23)</f>
        <v>1023</v>
      </c>
      <c r="B23" s="6">
        <f t="shared" ca="1" si="0"/>
        <v>45307</v>
      </c>
      <c r="C23" s="5" t="str" cm="1">
        <f t="array" aca="1" ref="C23" ca="1">INDEX({"S001","S002","S003","S004","S005"}, RANDBETWEEN(1,5))</f>
        <v>S004</v>
      </c>
      <c r="D23" s="5" t="str" cm="1">
        <f t="array" aca="1" ref="D23" ca="1">INDEX({"Mumbai","Delhi","Bangalore","Ahmedabad","Chennai"}, RANDBETWEEN(1,5))</f>
        <v>Delhi</v>
      </c>
      <c r="E23" s="5" t="str" cm="1">
        <f t="array" aca="1" ref="E23" ca="1">INDEX({"Electronics","Groceries","Furniture","Clothing","Stationery"}, RANDBETWEEN(1,5))</f>
        <v>Groceries</v>
      </c>
      <c r="F23" s="5" t="str">
        <f t="shared" ca="1" si="1"/>
        <v>Office Chair</v>
      </c>
      <c r="G23" s="8">
        <f t="shared" ca="1" si="2"/>
        <v>5</v>
      </c>
      <c r="H23" s="10">
        <f t="shared" ca="1" si="3"/>
        <v>1200</v>
      </c>
      <c r="I23" s="10">
        <f t="shared" ca="1" si="4"/>
        <v>6000</v>
      </c>
      <c r="J23" s="10">
        <f ca="1">Table2[[#This Row],[Unit Price]] * RANDBETWEEN(70,90)/100</f>
        <v>864</v>
      </c>
      <c r="K23" s="12">
        <f ca="1">(Table2[[#This Row],[Unit Price]] - Table2[[#This Row],[Cost per Unit]]) * Table2[[#This Row],[Units Sold]]</f>
        <v>1680</v>
      </c>
    </row>
    <row r="24" spans="1:11" ht="15.6" x14ac:dyDescent="0.3">
      <c r="A24" s="5" cm="1">
        <f t="array" ref="A24">1000 + ROW(24:24)</f>
        <v>1024</v>
      </c>
      <c r="B24" s="6">
        <f t="shared" ca="1" si="0"/>
        <v>45371</v>
      </c>
      <c r="C24" s="5" t="str" cm="1">
        <f t="array" aca="1" ref="C24" ca="1">INDEX({"S001","S002","S003","S004","S005"}, RANDBETWEEN(1,5))</f>
        <v>S003</v>
      </c>
      <c r="D24" s="5" t="str" cm="1">
        <f t="array" aca="1" ref="D24" ca="1">INDEX({"Mumbai","Delhi","Bangalore","Ahmedabad","Chennai"}, RANDBETWEEN(1,5))</f>
        <v>Ahmedabad</v>
      </c>
      <c r="E24" s="5" t="str" cm="1">
        <f t="array" aca="1" ref="E24" ca="1">INDEX({"Electronics","Groceries","Furniture","Clothing","Stationery"}, RANDBETWEEN(1,5))</f>
        <v>Groceries</v>
      </c>
      <c r="F24" s="5" t="str">
        <f t="shared" ca="1" si="1"/>
        <v>Table</v>
      </c>
      <c r="G24" s="8">
        <f t="shared" ca="1" si="2"/>
        <v>97</v>
      </c>
      <c r="H24" s="10">
        <f t="shared" ca="1" si="3"/>
        <v>500</v>
      </c>
      <c r="I24" s="10">
        <f t="shared" ca="1" si="4"/>
        <v>48500</v>
      </c>
      <c r="J24" s="10">
        <f ca="1">Table2[[#This Row],[Unit Price]] * RANDBETWEEN(70,90)/100</f>
        <v>370</v>
      </c>
      <c r="K24" s="12">
        <f ca="1">(Table2[[#This Row],[Unit Price]] - Table2[[#This Row],[Cost per Unit]]) * Table2[[#This Row],[Units Sold]]</f>
        <v>12610</v>
      </c>
    </row>
    <row r="25" spans="1:11" ht="15.6" x14ac:dyDescent="0.3">
      <c r="A25" s="5" cm="1">
        <f t="array" ref="A25">1000 + ROW(25:25)</f>
        <v>1025</v>
      </c>
      <c r="B25" s="6">
        <f t="shared" ca="1" si="0"/>
        <v>45358</v>
      </c>
      <c r="C25" s="5" t="str" cm="1">
        <f t="array" aca="1" ref="C25" ca="1">INDEX({"S001","S002","S003","S004","S005"}, RANDBETWEEN(1,5))</f>
        <v>S003</v>
      </c>
      <c r="D25" s="5" t="str" cm="1">
        <f t="array" aca="1" ref="D25" ca="1">INDEX({"Mumbai","Delhi","Bangalore","Ahmedabad","Chennai"}, RANDBETWEEN(1,5))</f>
        <v>Delhi</v>
      </c>
      <c r="E25" s="5" t="str" cm="1">
        <f t="array" aca="1" ref="E25" ca="1">INDEX({"Electronics","Groceries","Furniture","Clothing","Stationery"}, RANDBETWEEN(1,5))</f>
        <v>Clothing</v>
      </c>
      <c r="F25" s="5" t="str">
        <f t="shared" ca="1" si="1"/>
        <v>Office Chair</v>
      </c>
      <c r="G25" s="8">
        <f t="shared" ca="1" si="2"/>
        <v>47</v>
      </c>
      <c r="H25" s="10">
        <f t="shared" ca="1" si="3"/>
        <v>15000</v>
      </c>
      <c r="I25" s="10">
        <f t="shared" ca="1" si="4"/>
        <v>705000</v>
      </c>
      <c r="J25" s="10">
        <f ca="1">Table2[[#This Row],[Unit Price]] * RANDBETWEEN(70,90)/100</f>
        <v>13500</v>
      </c>
      <c r="K25" s="12">
        <f ca="1">(Table2[[#This Row],[Unit Price]] - Table2[[#This Row],[Cost per Unit]]) * Table2[[#This Row],[Units Sold]]</f>
        <v>70500</v>
      </c>
    </row>
    <row r="26" spans="1:11" ht="15.6" x14ac:dyDescent="0.3">
      <c r="A26" s="5" cm="1">
        <f t="array" ref="A26">1000 + ROW(26:26)</f>
        <v>1026</v>
      </c>
      <c r="B26" s="6">
        <f t="shared" ca="1" si="0"/>
        <v>45304</v>
      </c>
      <c r="C26" s="5" t="str" cm="1">
        <f t="array" aca="1" ref="C26" ca="1">INDEX({"S001","S002","S003","S004","S005"}, RANDBETWEEN(1,5))</f>
        <v>S003</v>
      </c>
      <c r="D26" s="5" t="str" cm="1">
        <f t="array" aca="1" ref="D26" ca="1">INDEX({"Mumbai","Delhi","Bangalore","Ahmedabad","Chennai"}, RANDBETWEEN(1,5))</f>
        <v>Chennai</v>
      </c>
      <c r="E26" s="5" t="str" cm="1">
        <f t="array" aca="1" ref="E26" ca="1">INDEX({"Electronics","Groceries","Furniture","Clothing","Stationery"}, RANDBETWEEN(1,5))</f>
        <v>Electronics</v>
      </c>
      <c r="F26" s="5" t="str">
        <f t="shared" ca="1" si="1"/>
        <v>Table</v>
      </c>
      <c r="G26" s="8">
        <f t="shared" ca="1" si="2"/>
        <v>56</v>
      </c>
      <c r="H26" s="10">
        <f t="shared" ca="1" si="3"/>
        <v>50</v>
      </c>
      <c r="I26" s="10">
        <f t="shared" ca="1" si="4"/>
        <v>2800</v>
      </c>
      <c r="J26" s="10">
        <f ca="1">Table2[[#This Row],[Unit Price]] * RANDBETWEEN(70,90)/100</f>
        <v>40</v>
      </c>
      <c r="K26" s="12">
        <f ca="1">(Table2[[#This Row],[Unit Price]] - Table2[[#This Row],[Cost per Unit]]) * Table2[[#This Row],[Units Sold]]</f>
        <v>560</v>
      </c>
    </row>
    <row r="27" spans="1:11" ht="15.6" x14ac:dyDescent="0.3">
      <c r="A27" s="5" cm="1">
        <f t="array" ref="A27">1000 + ROW(27:27)</f>
        <v>1027</v>
      </c>
      <c r="B27" s="6">
        <f t="shared" ca="1" si="0"/>
        <v>45352</v>
      </c>
      <c r="C27" s="5" t="str" cm="1">
        <f t="array" aca="1" ref="C27" ca="1">INDEX({"S001","S002","S003","S004","S005"}, RANDBETWEEN(1,5))</f>
        <v>S004</v>
      </c>
      <c r="D27" s="5" t="str" cm="1">
        <f t="array" aca="1" ref="D27" ca="1">INDEX({"Mumbai","Delhi","Bangalore","Ahmedabad","Chennai"}, RANDBETWEEN(1,5))</f>
        <v>Chennai</v>
      </c>
      <c r="E27" s="5" t="str" cm="1">
        <f t="array" aca="1" ref="E27" ca="1">INDEX({"Electronics","Groceries","Furniture","Clothing","Stationery"}, RANDBETWEEN(1,5))</f>
        <v>Electronics</v>
      </c>
      <c r="F27" s="5" t="str">
        <f t="shared" ca="1" si="1"/>
        <v>T-shirt</v>
      </c>
      <c r="G27" s="8">
        <f t="shared" ca="1" si="2"/>
        <v>34</v>
      </c>
      <c r="H27" s="10">
        <f t="shared" ca="1" si="3"/>
        <v>500</v>
      </c>
      <c r="I27" s="10">
        <f t="shared" ca="1" si="4"/>
        <v>17000</v>
      </c>
      <c r="J27" s="10">
        <f ca="1">Table2[[#This Row],[Unit Price]] * RANDBETWEEN(70,90)/100</f>
        <v>355</v>
      </c>
      <c r="K27" s="12">
        <f ca="1">(Table2[[#This Row],[Unit Price]] - Table2[[#This Row],[Cost per Unit]]) * Table2[[#This Row],[Units Sold]]</f>
        <v>4930</v>
      </c>
    </row>
    <row r="28" spans="1:11" ht="15.6" x14ac:dyDescent="0.3">
      <c r="A28" s="5" cm="1">
        <f t="array" ref="A28">1000 + ROW(28:28)</f>
        <v>1028</v>
      </c>
      <c r="B28" s="6">
        <f t="shared" ca="1" si="0"/>
        <v>45322</v>
      </c>
      <c r="C28" s="5" t="str" cm="1">
        <f t="array" aca="1" ref="C28" ca="1">INDEX({"S001","S002","S003","S004","S005"}, RANDBETWEEN(1,5))</f>
        <v>S001</v>
      </c>
      <c r="D28" s="5" t="str" cm="1">
        <f t="array" aca="1" ref="D28" ca="1">INDEX({"Mumbai","Delhi","Bangalore","Ahmedabad","Chennai"}, RANDBETWEEN(1,5))</f>
        <v>Chennai</v>
      </c>
      <c r="E28" s="5" t="str" cm="1">
        <f t="array" aca="1" ref="E28" ca="1">INDEX({"Electronics","Groceries","Furniture","Clothing","Stationery"}, RANDBETWEEN(1,5))</f>
        <v>Clothing</v>
      </c>
      <c r="F28" s="5" t="str">
        <f t="shared" ca="1" si="1"/>
        <v>Desk Lamp</v>
      </c>
      <c r="G28" s="8">
        <f t="shared" ca="1" si="2"/>
        <v>59</v>
      </c>
      <c r="H28" s="10">
        <f t="shared" ca="1" si="3"/>
        <v>250</v>
      </c>
      <c r="I28" s="10">
        <f t="shared" ca="1" si="4"/>
        <v>14750</v>
      </c>
      <c r="J28" s="10">
        <f ca="1">Table2[[#This Row],[Unit Price]] * RANDBETWEEN(70,90)/100</f>
        <v>175</v>
      </c>
      <c r="K28" s="12">
        <f ca="1">(Table2[[#This Row],[Unit Price]] - Table2[[#This Row],[Cost per Unit]]) * Table2[[#This Row],[Units Sold]]</f>
        <v>4425</v>
      </c>
    </row>
    <row r="29" spans="1:11" ht="15.6" x14ac:dyDescent="0.3">
      <c r="A29" s="5" cm="1">
        <f t="array" ref="A29">1000 + ROW(29:29)</f>
        <v>1029</v>
      </c>
      <c r="B29" s="6">
        <f t="shared" ca="1" si="0"/>
        <v>45364</v>
      </c>
      <c r="C29" s="5" t="str" cm="1">
        <f t="array" aca="1" ref="C29" ca="1">INDEX({"S001","S002","S003","S004","S005"}, RANDBETWEEN(1,5))</f>
        <v>S005</v>
      </c>
      <c r="D29" s="5" t="str" cm="1">
        <f t="array" aca="1" ref="D29" ca="1">INDEX({"Mumbai","Delhi","Bangalore","Ahmedabad","Chennai"}, RANDBETWEEN(1,5))</f>
        <v>Mumbai</v>
      </c>
      <c r="E29" s="5" t="str" cm="1">
        <f t="array" aca="1" ref="E29" ca="1">INDEX({"Electronics","Groceries","Furniture","Clothing","Stationery"}, RANDBETWEEN(1,5))</f>
        <v>Stationery</v>
      </c>
      <c r="F29" s="5" t="str">
        <f t="shared" ca="1" si="1"/>
        <v>Notebook</v>
      </c>
      <c r="G29" s="8">
        <f t="shared" ca="1" si="2"/>
        <v>15</v>
      </c>
      <c r="H29" s="10">
        <f t="shared" ca="1" si="3"/>
        <v>300</v>
      </c>
      <c r="I29" s="10">
        <f t="shared" ca="1" si="4"/>
        <v>4500</v>
      </c>
      <c r="J29" s="10">
        <f ca="1">Table2[[#This Row],[Unit Price]] * RANDBETWEEN(70,90)/100</f>
        <v>264</v>
      </c>
      <c r="K29" s="12">
        <f ca="1">(Table2[[#This Row],[Unit Price]] - Table2[[#This Row],[Cost per Unit]]) * Table2[[#This Row],[Units Sold]]</f>
        <v>540</v>
      </c>
    </row>
    <row r="30" spans="1:11" ht="15.6" x14ac:dyDescent="0.3">
      <c r="A30" s="5" cm="1">
        <f t="array" ref="A30">1000 + ROW(30:30)</f>
        <v>1030</v>
      </c>
      <c r="B30" s="6">
        <f t="shared" ca="1" si="0"/>
        <v>45372</v>
      </c>
      <c r="C30" s="5" t="str" cm="1">
        <f t="array" aca="1" ref="C30" ca="1">INDEX({"S001","S002","S003","S004","S005"}, RANDBETWEEN(1,5))</f>
        <v>S001</v>
      </c>
      <c r="D30" s="5" t="str" cm="1">
        <f t="array" aca="1" ref="D30" ca="1">INDEX({"Mumbai","Delhi","Bangalore","Ahmedabad","Chennai"}, RANDBETWEEN(1,5))</f>
        <v>Mumbai</v>
      </c>
      <c r="E30" s="5" t="str" cm="1">
        <f t="array" aca="1" ref="E30" ca="1">INDEX({"Electronics","Groceries","Furniture","Clothing","Stationery"}, RANDBETWEEN(1,5))</f>
        <v>Furniture</v>
      </c>
      <c r="F30" s="5" t="str">
        <f t="shared" ca="1" si="1"/>
        <v>Laptop</v>
      </c>
      <c r="G30" s="8">
        <f t="shared" ca="1" si="2"/>
        <v>61</v>
      </c>
      <c r="H30" s="10">
        <f t="shared" ca="1" si="3"/>
        <v>50</v>
      </c>
      <c r="I30" s="10">
        <f t="shared" ca="1" si="4"/>
        <v>3050</v>
      </c>
      <c r="J30" s="10">
        <f ca="1">Table2[[#This Row],[Unit Price]] * RANDBETWEEN(70,90)/100</f>
        <v>37.5</v>
      </c>
      <c r="K30" s="12">
        <f ca="1">(Table2[[#This Row],[Unit Price]] - Table2[[#This Row],[Cost per Unit]]) * Table2[[#This Row],[Units Sold]]</f>
        <v>762.5</v>
      </c>
    </row>
    <row r="31" spans="1:11" ht="15.6" x14ac:dyDescent="0.3">
      <c r="A31" s="5" cm="1">
        <f t="array" ref="A31">1000 + ROW(31:31)</f>
        <v>1031</v>
      </c>
      <c r="B31" s="6">
        <f t="shared" ca="1" si="0"/>
        <v>45312</v>
      </c>
      <c r="C31" s="5" t="str" cm="1">
        <f t="array" aca="1" ref="C31" ca="1">INDEX({"S001","S002","S003","S004","S005"}, RANDBETWEEN(1,5))</f>
        <v>S005</v>
      </c>
      <c r="D31" s="5" t="str" cm="1">
        <f t="array" aca="1" ref="D31" ca="1">INDEX({"Mumbai","Delhi","Bangalore","Ahmedabad","Chennai"}, RANDBETWEEN(1,5))</f>
        <v>Mumbai</v>
      </c>
      <c r="E31" s="5" t="str" cm="1">
        <f t="array" aca="1" ref="E31" ca="1">INDEX({"Electronics","Groceries","Furniture","Clothing","Stationery"}, RANDBETWEEN(1,5))</f>
        <v>Electronics</v>
      </c>
      <c r="F31" s="5" t="str">
        <f t="shared" ca="1" si="1"/>
        <v>Desk Lamp</v>
      </c>
      <c r="G31" s="8">
        <f t="shared" ca="1" si="2"/>
        <v>94</v>
      </c>
      <c r="H31" s="10">
        <f t="shared" ca="1" si="3"/>
        <v>30000</v>
      </c>
      <c r="I31" s="10">
        <f t="shared" ca="1" si="4"/>
        <v>2820000</v>
      </c>
      <c r="J31" s="10">
        <f ca="1">Table2[[#This Row],[Unit Price]] * RANDBETWEEN(70,90)/100</f>
        <v>21600</v>
      </c>
      <c r="K31" s="12">
        <f ca="1">(Table2[[#This Row],[Unit Price]] - Table2[[#This Row],[Cost per Unit]]) * Table2[[#This Row],[Units Sold]]</f>
        <v>789600</v>
      </c>
    </row>
    <row r="32" spans="1:11" ht="15.6" x14ac:dyDescent="0.3">
      <c r="A32" s="5" cm="1">
        <f t="array" ref="A32">1000 + ROW(32:32)</f>
        <v>1032</v>
      </c>
      <c r="B32" s="6">
        <f t="shared" ca="1" si="0"/>
        <v>45304</v>
      </c>
      <c r="C32" s="5" t="str" cm="1">
        <f t="array" aca="1" ref="C32" ca="1">INDEX({"S001","S002","S003","S004","S005"}, RANDBETWEEN(1,5))</f>
        <v>S001</v>
      </c>
      <c r="D32" s="5" t="str" cm="1">
        <f t="array" aca="1" ref="D32" ca="1">INDEX({"Mumbai","Delhi","Bangalore","Ahmedabad","Chennai"}, RANDBETWEEN(1,5))</f>
        <v>Chennai</v>
      </c>
      <c r="E32" s="5" t="str" cm="1">
        <f t="array" aca="1" ref="E32" ca="1">INDEX({"Electronics","Groceries","Furniture","Clothing","Stationery"}, RANDBETWEEN(1,5))</f>
        <v>Groceries</v>
      </c>
      <c r="F32" s="5" t="str">
        <f t="shared" ca="1" si="1"/>
        <v>Rice 5kg</v>
      </c>
      <c r="G32" s="8">
        <f t="shared" ca="1" si="2"/>
        <v>94</v>
      </c>
      <c r="H32" s="10">
        <f t="shared" ca="1" si="3"/>
        <v>300</v>
      </c>
      <c r="I32" s="10">
        <f t="shared" ca="1" si="4"/>
        <v>28200</v>
      </c>
      <c r="J32" s="10">
        <f ca="1">Table2[[#This Row],[Unit Price]] * RANDBETWEEN(70,90)/100</f>
        <v>249</v>
      </c>
      <c r="K32" s="12">
        <f ca="1">(Table2[[#This Row],[Unit Price]] - Table2[[#This Row],[Cost per Unit]]) * Table2[[#This Row],[Units Sold]]</f>
        <v>4794</v>
      </c>
    </row>
    <row r="33" spans="1:11" ht="15.6" x14ac:dyDescent="0.3">
      <c r="A33" s="5" cm="1">
        <f t="array" ref="A33">1000 + ROW(33:33)</f>
        <v>1033</v>
      </c>
      <c r="B33" s="6">
        <f t="shared" ca="1" si="0"/>
        <v>45320</v>
      </c>
      <c r="C33" s="5" t="str" cm="1">
        <f t="array" aca="1" ref="C33" ca="1">INDEX({"S001","S002","S003","S004","S005"}, RANDBETWEEN(1,5))</f>
        <v>S005</v>
      </c>
      <c r="D33" s="5" t="str" cm="1">
        <f t="array" aca="1" ref="D33" ca="1">INDEX({"Mumbai","Delhi","Bangalore","Ahmedabad","Chennai"}, RANDBETWEEN(1,5))</f>
        <v>Mumbai</v>
      </c>
      <c r="E33" s="5" t="str" cm="1">
        <f t="array" aca="1" ref="E33" ca="1">INDEX({"Electronics","Groceries","Furniture","Clothing","Stationery"}, RANDBETWEEN(1,5))</f>
        <v>Electronics</v>
      </c>
      <c r="F33" s="5" t="str">
        <f t="shared" ca="1" si="1"/>
        <v>Cooking Oil 1L</v>
      </c>
      <c r="G33" s="8">
        <f t="shared" ca="1" si="2"/>
        <v>17</v>
      </c>
      <c r="H33" s="10">
        <f t="shared" ca="1" si="3"/>
        <v>250</v>
      </c>
      <c r="I33" s="10">
        <f t="shared" ca="1" si="4"/>
        <v>4250</v>
      </c>
      <c r="J33" s="10">
        <f ca="1">Table2[[#This Row],[Unit Price]] * RANDBETWEEN(70,90)/100</f>
        <v>207.5</v>
      </c>
      <c r="K33" s="12">
        <f ca="1">(Table2[[#This Row],[Unit Price]] - Table2[[#This Row],[Cost per Unit]]) * Table2[[#This Row],[Units Sold]]</f>
        <v>722.5</v>
      </c>
    </row>
    <row r="34" spans="1:11" ht="15.6" x14ac:dyDescent="0.3">
      <c r="A34" s="5" cm="1">
        <f t="array" ref="A34">1000 + ROW(34:34)</f>
        <v>1034</v>
      </c>
      <c r="B34" s="6">
        <f t="shared" ca="1" si="0"/>
        <v>45328</v>
      </c>
      <c r="C34" s="5" t="str" cm="1">
        <f t="array" aca="1" ref="C34" ca="1">INDEX({"S001","S002","S003","S004","S005"}, RANDBETWEEN(1,5))</f>
        <v>S003</v>
      </c>
      <c r="D34" s="5" t="str" cm="1">
        <f t="array" aca="1" ref="D34" ca="1">INDEX({"Mumbai","Delhi","Bangalore","Ahmedabad","Chennai"}, RANDBETWEEN(1,5))</f>
        <v>Chennai</v>
      </c>
      <c r="E34" s="5" t="str" cm="1">
        <f t="array" aca="1" ref="E34" ca="1">INDEX({"Electronics","Groceries","Furniture","Clothing","Stationery"}, RANDBETWEEN(1,5))</f>
        <v>Groceries</v>
      </c>
      <c r="F34" s="5" t="str">
        <f t="shared" ca="1" si="1"/>
        <v>Shampoo</v>
      </c>
      <c r="G34" s="8">
        <f t="shared" ca="1" si="2"/>
        <v>13</v>
      </c>
      <c r="H34" s="10">
        <f t="shared" ca="1" si="3"/>
        <v>250</v>
      </c>
      <c r="I34" s="10">
        <f t="shared" ca="1" si="4"/>
        <v>3250</v>
      </c>
      <c r="J34" s="10">
        <f ca="1">Table2[[#This Row],[Unit Price]] * RANDBETWEEN(70,90)/100</f>
        <v>207.5</v>
      </c>
      <c r="K34" s="12">
        <f ca="1">(Table2[[#This Row],[Unit Price]] - Table2[[#This Row],[Cost per Unit]]) * Table2[[#This Row],[Units Sold]]</f>
        <v>552.5</v>
      </c>
    </row>
    <row r="35" spans="1:11" ht="15.6" x14ac:dyDescent="0.3">
      <c r="A35" s="5" cm="1">
        <f t="array" ref="A35">1000 + ROW(35:35)</f>
        <v>1035</v>
      </c>
      <c r="B35" s="6">
        <f t="shared" ca="1" si="0"/>
        <v>45346</v>
      </c>
      <c r="C35" s="5" t="str" cm="1">
        <f t="array" aca="1" ref="C35" ca="1">INDEX({"S001","S002","S003","S004","S005"}, RANDBETWEEN(1,5))</f>
        <v>S005</v>
      </c>
      <c r="D35" s="5" t="str" cm="1">
        <f t="array" aca="1" ref="D35" ca="1">INDEX({"Mumbai","Delhi","Bangalore","Ahmedabad","Chennai"}, RANDBETWEEN(1,5))</f>
        <v>Delhi</v>
      </c>
      <c r="E35" s="5" t="str" cm="1">
        <f t="array" aca="1" ref="E35" ca="1">INDEX({"Electronics","Groceries","Furniture","Clothing","Stationery"}, RANDBETWEEN(1,5))</f>
        <v>Groceries</v>
      </c>
      <c r="F35" s="5" t="str">
        <f t="shared" ca="1" si="1"/>
        <v>Laptop</v>
      </c>
      <c r="G35" s="8">
        <f t="shared" ca="1" si="2"/>
        <v>13</v>
      </c>
      <c r="H35" s="10">
        <f t="shared" ca="1" si="3"/>
        <v>900</v>
      </c>
      <c r="I35" s="10">
        <f t="shared" ca="1" si="4"/>
        <v>11700</v>
      </c>
      <c r="J35" s="10">
        <f ca="1">Table2[[#This Row],[Unit Price]] * RANDBETWEEN(70,90)/100</f>
        <v>666</v>
      </c>
      <c r="K35" s="12">
        <f ca="1">(Table2[[#This Row],[Unit Price]] - Table2[[#This Row],[Cost per Unit]]) * Table2[[#This Row],[Units Sold]]</f>
        <v>3042</v>
      </c>
    </row>
    <row r="36" spans="1:11" ht="15.6" x14ac:dyDescent="0.3">
      <c r="A36" s="5" cm="1">
        <f t="array" ref="A36">1000 + ROW(36:36)</f>
        <v>1036</v>
      </c>
      <c r="B36" s="6">
        <f t="shared" ca="1" si="0"/>
        <v>45320</v>
      </c>
      <c r="C36" s="5" t="str" cm="1">
        <f t="array" aca="1" ref="C36" ca="1">INDEX({"S001","S002","S003","S004","S005"}, RANDBETWEEN(1,5))</f>
        <v>S005</v>
      </c>
      <c r="D36" s="5" t="str" cm="1">
        <f t="array" aca="1" ref="D36" ca="1">INDEX({"Mumbai","Delhi","Bangalore","Ahmedabad","Chennai"}, RANDBETWEEN(1,5))</f>
        <v>Ahmedabad</v>
      </c>
      <c r="E36" s="5" t="str" cm="1">
        <f t="array" aca="1" ref="E36" ca="1">INDEX({"Electronics","Groceries","Furniture","Clothing","Stationery"}, RANDBETWEEN(1,5))</f>
        <v>Furniture</v>
      </c>
      <c r="F36" s="5" t="str">
        <f t="shared" ca="1" si="1"/>
        <v>T-shirt</v>
      </c>
      <c r="G36" s="8">
        <f t="shared" ca="1" si="2"/>
        <v>38</v>
      </c>
      <c r="H36" s="10">
        <f t="shared" ca="1" si="3"/>
        <v>50</v>
      </c>
      <c r="I36" s="10">
        <f t="shared" ca="1" si="4"/>
        <v>1900</v>
      </c>
      <c r="J36" s="10">
        <f ca="1">Table2[[#This Row],[Unit Price]] * RANDBETWEEN(70,90)/100</f>
        <v>44.5</v>
      </c>
      <c r="K36" s="12">
        <f ca="1">(Table2[[#This Row],[Unit Price]] - Table2[[#This Row],[Cost per Unit]]) * Table2[[#This Row],[Units Sold]]</f>
        <v>209</v>
      </c>
    </row>
    <row r="37" spans="1:11" ht="15.6" x14ac:dyDescent="0.3">
      <c r="A37" s="5" cm="1">
        <f t="array" ref="A37">1000 + ROW(37:37)</f>
        <v>1037</v>
      </c>
      <c r="B37" s="6">
        <f t="shared" ca="1" si="0"/>
        <v>45344</v>
      </c>
      <c r="C37" s="5" t="str" cm="1">
        <f t="array" aca="1" ref="C37" ca="1">INDEX({"S001","S002","S003","S004","S005"}, RANDBETWEEN(1,5))</f>
        <v>S002</v>
      </c>
      <c r="D37" s="5" t="str" cm="1">
        <f t="array" aca="1" ref="D37" ca="1">INDEX({"Mumbai","Delhi","Bangalore","Ahmedabad","Chennai"}, RANDBETWEEN(1,5))</f>
        <v>Delhi</v>
      </c>
      <c r="E37" s="5" t="str" cm="1">
        <f t="array" aca="1" ref="E37" ca="1">INDEX({"Electronics","Groceries","Furniture","Clothing","Stationery"}, RANDBETWEEN(1,5))</f>
        <v>Stationery</v>
      </c>
      <c r="F37" s="5" t="str">
        <f t="shared" ca="1" si="1"/>
        <v>Laptop</v>
      </c>
      <c r="G37" s="8">
        <f t="shared" ca="1" si="2"/>
        <v>17</v>
      </c>
      <c r="H37" s="10">
        <f t="shared" ca="1" si="3"/>
        <v>50</v>
      </c>
      <c r="I37" s="10">
        <f t="shared" ca="1" si="4"/>
        <v>850</v>
      </c>
      <c r="J37" s="10">
        <f ca="1">Table2[[#This Row],[Unit Price]] * RANDBETWEEN(70,90)/100</f>
        <v>40.5</v>
      </c>
      <c r="K37" s="12">
        <f ca="1">(Table2[[#This Row],[Unit Price]] - Table2[[#This Row],[Cost per Unit]]) * Table2[[#This Row],[Units Sold]]</f>
        <v>161.5</v>
      </c>
    </row>
    <row r="38" spans="1:11" ht="15.6" x14ac:dyDescent="0.3">
      <c r="A38" s="5" cm="1">
        <f t="array" ref="A38">1000 + ROW(38:38)</f>
        <v>1038</v>
      </c>
      <c r="B38" s="6">
        <f t="shared" ca="1" si="0"/>
        <v>45335</v>
      </c>
      <c r="C38" s="5" t="str" cm="1">
        <f t="array" aca="1" ref="C38" ca="1">INDEX({"S001","S002","S003","S004","S005"}, RANDBETWEEN(1,5))</f>
        <v>S005</v>
      </c>
      <c r="D38" s="5" t="str" cm="1">
        <f t="array" aca="1" ref="D38" ca="1">INDEX({"Mumbai","Delhi","Bangalore","Ahmedabad","Chennai"}, RANDBETWEEN(1,5))</f>
        <v>Chennai</v>
      </c>
      <c r="E38" s="5" t="str" cm="1">
        <f t="array" aca="1" ref="E38" ca="1">INDEX({"Electronics","Groceries","Furniture","Clothing","Stationery"}, RANDBETWEEN(1,5))</f>
        <v>Furniture</v>
      </c>
      <c r="F38" s="5" t="str">
        <f t="shared" ca="1" si="1"/>
        <v>Shampoo</v>
      </c>
      <c r="G38" s="8">
        <f t="shared" ca="1" si="2"/>
        <v>47</v>
      </c>
      <c r="H38" s="10">
        <f t="shared" ca="1" si="3"/>
        <v>50</v>
      </c>
      <c r="I38" s="10">
        <f t="shared" ca="1" si="4"/>
        <v>2350</v>
      </c>
      <c r="J38" s="10">
        <f ca="1">Table2[[#This Row],[Unit Price]] * RANDBETWEEN(70,90)/100</f>
        <v>37.5</v>
      </c>
      <c r="K38" s="12">
        <f ca="1">(Table2[[#This Row],[Unit Price]] - Table2[[#This Row],[Cost per Unit]]) * Table2[[#This Row],[Units Sold]]</f>
        <v>587.5</v>
      </c>
    </row>
    <row r="39" spans="1:11" ht="15.6" x14ac:dyDescent="0.3">
      <c r="A39" s="5" cm="1">
        <f t="array" ref="A39">1000 + ROW(39:39)</f>
        <v>1039</v>
      </c>
      <c r="B39" s="6">
        <f t="shared" ca="1" si="0"/>
        <v>45312</v>
      </c>
      <c r="C39" s="5" t="str" cm="1">
        <f t="array" aca="1" ref="C39" ca="1">INDEX({"S001","S002","S003","S004","S005"}, RANDBETWEEN(1,5))</f>
        <v>S001</v>
      </c>
      <c r="D39" s="5" t="str" cm="1">
        <f t="array" aca="1" ref="D39" ca="1">INDEX({"Mumbai","Delhi","Bangalore","Ahmedabad","Chennai"}, RANDBETWEEN(1,5))</f>
        <v>Delhi</v>
      </c>
      <c r="E39" s="5" t="str" cm="1">
        <f t="array" aca="1" ref="E39" ca="1">INDEX({"Electronics","Groceries","Furniture","Clothing","Stationery"}, RANDBETWEEN(1,5))</f>
        <v>Stationery</v>
      </c>
      <c r="F39" s="5" t="str">
        <f t="shared" ca="1" si="1"/>
        <v>Smartphone</v>
      </c>
      <c r="G39" s="8">
        <f t="shared" ca="1" si="2"/>
        <v>14</v>
      </c>
      <c r="H39" s="10">
        <f t="shared" ca="1" si="3"/>
        <v>300</v>
      </c>
      <c r="I39" s="10">
        <f t="shared" ca="1" si="4"/>
        <v>4200</v>
      </c>
      <c r="J39" s="10">
        <f ca="1">Table2[[#This Row],[Unit Price]] * RANDBETWEEN(70,90)/100</f>
        <v>234</v>
      </c>
      <c r="K39" s="12">
        <f ca="1">(Table2[[#This Row],[Unit Price]] - Table2[[#This Row],[Cost per Unit]]) * Table2[[#This Row],[Units Sold]]</f>
        <v>924</v>
      </c>
    </row>
    <row r="40" spans="1:11" ht="15.6" x14ac:dyDescent="0.3">
      <c r="A40" s="5" cm="1">
        <f t="array" ref="A40">1000 + ROW(40:40)</f>
        <v>1040</v>
      </c>
      <c r="B40" s="6">
        <f t="shared" ca="1" si="0"/>
        <v>45342</v>
      </c>
      <c r="C40" s="5" t="str" cm="1">
        <f t="array" aca="1" ref="C40" ca="1">INDEX({"S001","S002","S003","S004","S005"}, RANDBETWEEN(1,5))</f>
        <v>S004</v>
      </c>
      <c r="D40" s="5" t="str" cm="1">
        <f t="array" aca="1" ref="D40" ca="1">INDEX({"Mumbai","Delhi","Bangalore","Ahmedabad","Chennai"}, RANDBETWEEN(1,5))</f>
        <v>Chennai</v>
      </c>
      <c r="E40" s="5" t="str" cm="1">
        <f t="array" aca="1" ref="E40" ca="1">INDEX({"Electronics","Groceries","Furniture","Clothing","Stationery"}, RANDBETWEEN(1,5))</f>
        <v>Groceries</v>
      </c>
      <c r="F40" s="5" t="str">
        <f t="shared" ca="1" si="1"/>
        <v>Table</v>
      </c>
      <c r="G40" s="8">
        <f t="shared" ca="1" si="2"/>
        <v>95</v>
      </c>
      <c r="H40" s="10">
        <f t="shared" ca="1" si="3"/>
        <v>150</v>
      </c>
      <c r="I40" s="10">
        <f t="shared" ca="1" si="4"/>
        <v>14250</v>
      </c>
      <c r="J40" s="10">
        <f ca="1">Table2[[#This Row],[Unit Price]] * RANDBETWEEN(70,90)/100</f>
        <v>106.5</v>
      </c>
      <c r="K40" s="12">
        <f ca="1">(Table2[[#This Row],[Unit Price]] - Table2[[#This Row],[Cost per Unit]]) * Table2[[#This Row],[Units Sold]]</f>
        <v>4132.5</v>
      </c>
    </row>
    <row r="41" spans="1:11" ht="15.6" x14ac:dyDescent="0.3">
      <c r="A41" s="5" cm="1">
        <f t="array" ref="A41">1000 + ROW(41:41)</f>
        <v>1041</v>
      </c>
      <c r="B41" s="6">
        <f t="shared" ca="1" si="0"/>
        <v>45312</v>
      </c>
      <c r="C41" s="5" t="str" cm="1">
        <f t="array" aca="1" ref="C41" ca="1">INDEX({"S001","S002","S003","S004","S005"}, RANDBETWEEN(1,5))</f>
        <v>S005</v>
      </c>
      <c r="D41" s="5" t="str" cm="1">
        <f t="array" aca="1" ref="D41" ca="1">INDEX({"Mumbai","Delhi","Bangalore","Ahmedabad","Chennai"}, RANDBETWEEN(1,5))</f>
        <v>Bangalore</v>
      </c>
      <c r="E41" s="5" t="str" cm="1">
        <f t="array" aca="1" ref="E41" ca="1">INDEX({"Electronics","Groceries","Furniture","Clothing","Stationery"}, RANDBETWEEN(1,5))</f>
        <v>Electronics</v>
      </c>
      <c r="F41" s="5" t="str">
        <f t="shared" ca="1" si="1"/>
        <v>Office Chair</v>
      </c>
      <c r="G41" s="8">
        <f t="shared" ca="1" si="2"/>
        <v>32</v>
      </c>
      <c r="H41" s="10">
        <f t="shared" ca="1" si="3"/>
        <v>150</v>
      </c>
      <c r="I41" s="10">
        <f t="shared" ca="1" si="4"/>
        <v>4800</v>
      </c>
      <c r="J41" s="10">
        <f ca="1">Table2[[#This Row],[Unit Price]] * RANDBETWEEN(70,90)/100</f>
        <v>114</v>
      </c>
      <c r="K41" s="12">
        <f ca="1">(Table2[[#This Row],[Unit Price]] - Table2[[#This Row],[Cost per Unit]]) * Table2[[#This Row],[Units Sold]]</f>
        <v>1152</v>
      </c>
    </row>
    <row r="42" spans="1:11" ht="15.6" x14ac:dyDescent="0.3">
      <c r="A42" s="5" cm="1">
        <f t="array" ref="A42">1000 + ROW(42:42)</f>
        <v>1042</v>
      </c>
      <c r="B42" s="6">
        <f t="shared" ca="1" si="0"/>
        <v>45293</v>
      </c>
      <c r="C42" s="5" t="str" cm="1">
        <f t="array" aca="1" ref="C42" ca="1">INDEX({"S001","S002","S003","S004","S005"}, RANDBETWEEN(1,5))</f>
        <v>S004</v>
      </c>
      <c r="D42" s="5" t="str" cm="1">
        <f t="array" aca="1" ref="D42" ca="1">INDEX({"Mumbai","Delhi","Bangalore","Ahmedabad","Chennai"}, RANDBETWEEN(1,5))</f>
        <v>Mumbai</v>
      </c>
      <c r="E42" s="5" t="str" cm="1">
        <f t="array" aca="1" ref="E42" ca="1">INDEX({"Electronics","Groceries","Furniture","Clothing","Stationery"}, RANDBETWEEN(1,5))</f>
        <v>Clothing</v>
      </c>
      <c r="F42" s="5" t="str">
        <f t="shared" ca="1" si="1"/>
        <v>Rice 5kg</v>
      </c>
      <c r="G42" s="8">
        <f t="shared" ca="1" si="2"/>
        <v>65</v>
      </c>
      <c r="H42" s="10">
        <f t="shared" ca="1" si="3"/>
        <v>250</v>
      </c>
      <c r="I42" s="10">
        <f t="shared" ca="1" si="4"/>
        <v>16250</v>
      </c>
      <c r="J42" s="10">
        <f ca="1">Table2[[#This Row],[Unit Price]] * RANDBETWEEN(70,90)/100</f>
        <v>217.5</v>
      </c>
      <c r="K42" s="12">
        <f ca="1">(Table2[[#This Row],[Unit Price]] - Table2[[#This Row],[Cost per Unit]]) * Table2[[#This Row],[Units Sold]]</f>
        <v>2112.5</v>
      </c>
    </row>
    <row r="43" spans="1:11" ht="15.6" x14ac:dyDescent="0.3">
      <c r="A43" s="5" cm="1">
        <f t="array" ref="A43">1000 + ROW(43:43)</f>
        <v>1043</v>
      </c>
      <c r="B43" s="6">
        <f t="shared" ca="1" si="0"/>
        <v>45342</v>
      </c>
      <c r="C43" s="5" t="str" cm="1">
        <f t="array" aca="1" ref="C43" ca="1">INDEX({"S001","S002","S003","S004","S005"}, RANDBETWEEN(1,5))</f>
        <v>S004</v>
      </c>
      <c r="D43" s="5" t="str" cm="1">
        <f t="array" aca="1" ref="D43" ca="1">INDEX({"Mumbai","Delhi","Bangalore","Ahmedabad","Chennai"}, RANDBETWEEN(1,5))</f>
        <v>Mumbai</v>
      </c>
      <c r="E43" s="5" t="str" cm="1">
        <f t="array" aca="1" ref="E43" ca="1">INDEX({"Electronics","Groceries","Furniture","Clothing","Stationery"}, RANDBETWEEN(1,5))</f>
        <v>Stationery</v>
      </c>
      <c r="F43" s="5" t="str">
        <f t="shared" ca="1" si="1"/>
        <v>Shampoo</v>
      </c>
      <c r="G43" s="8">
        <f t="shared" ca="1" si="2"/>
        <v>30</v>
      </c>
      <c r="H43" s="10">
        <f t="shared" ca="1" si="3"/>
        <v>250</v>
      </c>
      <c r="I43" s="10">
        <f t="shared" ca="1" si="4"/>
        <v>7500</v>
      </c>
      <c r="J43" s="10">
        <f ca="1">Table2[[#This Row],[Unit Price]] * RANDBETWEEN(70,90)/100</f>
        <v>195</v>
      </c>
      <c r="K43" s="12">
        <f ca="1">(Table2[[#This Row],[Unit Price]] - Table2[[#This Row],[Cost per Unit]]) * Table2[[#This Row],[Units Sold]]</f>
        <v>1650</v>
      </c>
    </row>
    <row r="44" spans="1:11" ht="15.6" x14ac:dyDescent="0.3">
      <c r="A44" s="5" cm="1">
        <f t="array" ref="A44">1000 + ROW(44:44)</f>
        <v>1044</v>
      </c>
      <c r="B44" s="6">
        <f t="shared" ca="1" si="0"/>
        <v>45303</v>
      </c>
      <c r="C44" s="5" t="str" cm="1">
        <f t="array" aca="1" ref="C44" ca="1">INDEX({"S001","S002","S003","S004","S005"}, RANDBETWEEN(1,5))</f>
        <v>S004</v>
      </c>
      <c r="D44" s="5" t="str" cm="1">
        <f t="array" aca="1" ref="D44" ca="1">INDEX({"Mumbai","Delhi","Bangalore","Ahmedabad","Chennai"}, RANDBETWEEN(1,5))</f>
        <v>Delhi</v>
      </c>
      <c r="E44" s="5" t="str" cm="1">
        <f t="array" aca="1" ref="E44" ca="1">INDEX({"Electronics","Groceries","Furniture","Clothing","Stationery"}, RANDBETWEEN(1,5))</f>
        <v>Furniture</v>
      </c>
      <c r="F44" s="5" t="str">
        <f t="shared" ca="1" si="1"/>
        <v>Cooking Oil 1L</v>
      </c>
      <c r="G44" s="8">
        <f t="shared" ca="1" si="2"/>
        <v>49</v>
      </c>
      <c r="H44" s="10">
        <f t="shared" ca="1" si="3"/>
        <v>700</v>
      </c>
      <c r="I44" s="10">
        <f t="shared" ca="1" si="4"/>
        <v>34300</v>
      </c>
      <c r="J44" s="10">
        <f ca="1">Table2[[#This Row],[Unit Price]] * RANDBETWEEN(70,90)/100</f>
        <v>602</v>
      </c>
      <c r="K44" s="12">
        <f ca="1">(Table2[[#This Row],[Unit Price]] - Table2[[#This Row],[Cost per Unit]]) * Table2[[#This Row],[Units Sold]]</f>
        <v>4802</v>
      </c>
    </row>
    <row r="45" spans="1:11" ht="15.6" x14ac:dyDescent="0.3">
      <c r="A45" s="5" cm="1">
        <f t="array" ref="A45">1000 + ROW(45:45)</f>
        <v>1045</v>
      </c>
      <c r="B45" s="6">
        <f t="shared" ca="1" si="0"/>
        <v>45344</v>
      </c>
      <c r="C45" s="5" t="str" cm="1">
        <f t="array" aca="1" ref="C45" ca="1">INDEX({"S001","S002","S003","S004","S005"}, RANDBETWEEN(1,5))</f>
        <v>S001</v>
      </c>
      <c r="D45" s="5" t="str" cm="1">
        <f t="array" aca="1" ref="D45" ca="1">INDEX({"Mumbai","Delhi","Bangalore","Ahmedabad","Chennai"}, RANDBETWEEN(1,5))</f>
        <v>Bangalore</v>
      </c>
      <c r="E45" s="5" t="str" cm="1">
        <f t="array" aca="1" ref="E45" ca="1">INDEX({"Electronics","Groceries","Furniture","Clothing","Stationery"}, RANDBETWEEN(1,5))</f>
        <v>Clothing</v>
      </c>
      <c r="F45" s="5" t="str">
        <f t="shared" ca="1" si="1"/>
        <v>Rice 5kg</v>
      </c>
      <c r="G45" s="8">
        <f t="shared" ca="1" si="2"/>
        <v>36</v>
      </c>
      <c r="H45" s="10">
        <f t="shared" ca="1" si="3"/>
        <v>30000</v>
      </c>
      <c r="I45" s="10">
        <f t="shared" ca="1" si="4"/>
        <v>1080000</v>
      </c>
      <c r="J45" s="10">
        <f ca="1">Table2[[#This Row],[Unit Price]] * RANDBETWEEN(70,90)/100</f>
        <v>21300</v>
      </c>
      <c r="K45" s="12">
        <f ca="1">(Table2[[#This Row],[Unit Price]] - Table2[[#This Row],[Cost per Unit]]) * Table2[[#This Row],[Units Sold]]</f>
        <v>313200</v>
      </c>
    </row>
    <row r="46" spans="1:11" ht="15.6" x14ac:dyDescent="0.3">
      <c r="A46" s="5" cm="1">
        <f t="array" ref="A46">1000 + ROW(46:46)</f>
        <v>1046</v>
      </c>
      <c r="B46" s="6">
        <f t="shared" ca="1" si="0"/>
        <v>45314</v>
      </c>
      <c r="C46" s="5" t="str" cm="1">
        <f t="array" aca="1" ref="C46" ca="1">INDEX({"S001","S002","S003","S004","S005"}, RANDBETWEEN(1,5))</f>
        <v>S005</v>
      </c>
      <c r="D46" s="5" t="str" cm="1">
        <f t="array" aca="1" ref="D46" ca="1">INDEX({"Mumbai","Delhi","Bangalore","Ahmedabad","Chennai"}, RANDBETWEEN(1,5))</f>
        <v>Mumbai</v>
      </c>
      <c r="E46" s="5" t="str" cm="1">
        <f t="array" aca="1" ref="E46" ca="1">INDEX({"Electronics","Groceries","Furniture","Clothing","Stationery"}, RANDBETWEEN(1,5))</f>
        <v>Clothing</v>
      </c>
      <c r="F46" s="5" t="str">
        <f t="shared" ca="1" si="1"/>
        <v>T-shirt</v>
      </c>
      <c r="G46" s="8">
        <f t="shared" ca="1" si="2"/>
        <v>8</v>
      </c>
      <c r="H46" s="10">
        <f t="shared" ca="1" si="3"/>
        <v>30000</v>
      </c>
      <c r="I46" s="10">
        <f t="shared" ca="1" si="4"/>
        <v>240000</v>
      </c>
      <c r="J46" s="10">
        <f ca="1">Table2[[#This Row],[Unit Price]] * RANDBETWEEN(70,90)/100</f>
        <v>21900</v>
      </c>
      <c r="K46" s="12">
        <f ca="1">(Table2[[#This Row],[Unit Price]] - Table2[[#This Row],[Cost per Unit]]) * Table2[[#This Row],[Units Sold]]</f>
        <v>64800</v>
      </c>
    </row>
    <row r="47" spans="1:11" ht="15.6" x14ac:dyDescent="0.3">
      <c r="A47" s="5" cm="1">
        <f t="array" ref="A47">1000 + ROW(47:47)</f>
        <v>1047</v>
      </c>
      <c r="B47" s="6">
        <f t="shared" ca="1" si="0"/>
        <v>45319</v>
      </c>
      <c r="C47" s="5" t="str" cm="1">
        <f t="array" aca="1" ref="C47" ca="1">INDEX({"S001","S002","S003","S004","S005"}, RANDBETWEEN(1,5))</f>
        <v>S003</v>
      </c>
      <c r="D47" s="5" t="str" cm="1">
        <f t="array" aca="1" ref="D47" ca="1">INDEX({"Mumbai","Delhi","Bangalore","Ahmedabad","Chennai"}, RANDBETWEEN(1,5))</f>
        <v>Bangalore</v>
      </c>
      <c r="E47" s="5" t="str" cm="1">
        <f t="array" aca="1" ref="E47" ca="1">INDEX({"Electronics","Groceries","Furniture","Clothing","Stationery"}, RANDBETWEEN(1,5))</f>
        <v>Clothing</v>
      </c>
      <c r="F47" s="5" t="str">
        <f t="shared" ca="1" si="1"/>
        <v>Table</v>
      </c>
      <c r="G47" s="8">
        <f t="shared" ca="1" si="2"/>
        <v>77</v>
      </c>
      <c r="H47" s="10">
        <f t="shared" ca="1" si="3"/>
        <v>900</v>
      </c>
      <c r="I47" s="10">
        <f t="shared" ca="1" si="4"/>
        <v>69300</v>
      </c>
      <c r="J47" s="10">
        <f ca="1">Table2[[#This Row],[Unit Price]] * RANDBETWEEN(70,90)/100</f>
        <v>675</v>
      </c>
      <c r="K47" s="12">
        <f ca="1">(Table2[[#This Row],[Unit Price]] - Table2[[#This Row],[Cost per Unit]]) * Table2[[#This Row],[Units Sold]]</f>
        <v>17325</v>
      </c>
    </row>
    <row r="48" spans="1:11" ht="15.6" x14ac:dyDescent="0.3">
      <c r="A48" s="5" cm="1">
        <f t="array" ref="A48">1000 + ROW(48:48)</f>
        <v>1048</v>
      </c>
      <c r="B48" s="6">
        <f t="shared" ca="1" si="0"/>
        <v>45333</v>
      </c>
      <c r="C48" s="5" t="str" cm="1">
        <f t="array" aca="1" ref="C48" ca="1">INDEX({"S001","S002","S003","S004","S005"}, RANDBETWEEN(1,5))</f>
        <v>S002</v>
      </c>
      <c r="D48" s="5" t="str" cm="1">
        <f t="array" aca="1" ref="D48" ca="1">INDEX({"Mumbai","Delhi","Bangalore","Ahmedabad","Chennai"}, RANDBETWEEN(1,5))</f>
        <v>Delhi</v>
      </c>
      <c r="E48" s="5" t="str" cm="1">
        <f t="array" aca="1" ref="E48" ca="1">INDEX({"Electronics","Groceries","Furniture","Clothing","Stationery"}, RANDBETWEEN(1,5))</f>
        <v>Groceries</v>
      </c>
      <c r="F48" s="5" t="str">
        <f t="shared" ca="1" si="1"/>
        <v>Laptop</v>
      </c>
      <c r="G48" s="8">
        <f t="shared" ca="1" si="2"/>
        <v>73</v>
      </c>
      <c r="H48" s="10">
        <f t="shared" ca="1" si="3"/>
        <v>250</v>
      </c>
      <c r="I48" s="10">
        <f t="shared" ca="1" si="4"/>
        <v>18250</v>
      </c>
      <c r="J48" s="10">
        <f ca="1">Table2[[#This Row],[Unit Price]] * RANDBETWEEN(70,90)/100</f>
        <v>215</v>
      </c>
      <c r="K48" s="12">
        <f ca="1">(Table2[[#This Row],[Unit Price]] - Table2[[#This Row],[Cost per Unit]]) * Table2[[#This Row],[Units Sold]]</f>
        <v>2555</v>
      </c>
    </row>
    <row r="49" spans="1:11" ht="15.6" x14ac:dyDescent="0.3">
      <c r="A49" s="5" cm="1">
        <f t="array" ref="A49">1000 + ROW(49:49)</f>
        <v>1049</v>
      </c>
      <c r="B49" s="6">
        <f t="shared" ca="1" si="0"/>
        <v>45336</v>
      </c>
      <c r="C49" s="5" t="str" cm="1">
        <f t="array" aca="1" ref="C49" ca="1">INDEX({"S001","S002","S003","S004","S005"}, RANDBETWEEN(1,5))</f>
        <v>S005</v>
      </c>
      <c r="D49" s="5" t="str" cm="1">
        <f t="array" aca="1" ref="D49" ca="1">INDEX({"Mumbai","Delhi","Bangalore","Ahmedabad","Chennai"}, RANDBETWEEN(1,5))</f>
        <v>Bangalore</v>
      </c>
      <c r="E49" s="5" t="str" cm="1">
        <f t="array" aca="1" ref="E49" ca="1">INDEX({"Electronics","Groceries","Furniture","Clothing","Stationery"}, RANDBETWEEN(1,5))</f>
        <v>Furniture</v>
      </c>
      <c r="F49" s="5" t="str">
        <f t="shared" ca="1" si="1"/>
        <v>Cooking Oil 1L</v>
      </c>
      <c r="G49" s="8">
        <f t="shared" ca="1" si="2"/>
        <v>67</v>
      </c>
      <c r="H49" s="10">
        <f t="shared" ca="1" si="3"/>
        <v>30000</v>
      </c>
      <c r="I49" s="10">
        <f t="shared" ca="1" si="4"/>
        <v>2010000</v>
      </c>
      <c r="J49" s="10">
        <f ca="1">Table2[[#This Row],[Unit Price]] * RANDBETWEEN(70,90)/100</f>
        <v>25500</v>
      </c>
      <c r="K49" s="12">
        <f ca="1">(Table2[[#This Row],[Unit Price]] - Table2[[#This Row],[Cost per Unit]]) * Table2[[#This Row],[Units Sold]]</f>
        <v>301500</v>
      </c>
    </row>
    <row r="50" spans="1:11" ht="15.6" x14ac:dyDescent="0.3">
      <c r="A50" s="5" cm="1">
        <f t="array" ref="A50">1000 + ROW(50:50)</f>
        <v>1050</v>
      </c>
      <c r="B50" s="6">
        <f t="shared" ca="1" si="0"/>
        <v>45296</v>
      </c>
      <c r="C50" s="5" t="str" cm="1">
        <f t="array" aca="1" ref="C50" ca="1">INDEX({"S001","S002","S003","S004","S005"}, RANDBETWEEN(1,5))</f>
        <v>S001</v>
      </c>
      <c r="D50" s="5" t="str" cm="1">
        <f t="array" aca="1" ref="D50" ca="1">INDEX({"Mumbai","Delhi","Bangalore","Ahmedabad","Chennai"}, RANDBETWEEN(1,5))</f>
        <v>Chennai</v>
      </c>
      <c r="E50" s="5" t="str" cm="1">
        <f t="array" aca="1" ref="E50" ca="1">INDEX({"Electronics","Groceries","Furniture","Clothing","Stationery"}, RANDBETWEEN(1,5))</f>
        <v>Stationery</v>
      </c>
      <c r="F50" s="5" t="str">
        <f t="shared" ca="1" si="1"/>
        <v>Notebook</v>
      </c>
      <c r="G50" s="8">
        <f t="shared" ca="1" si="2"/>
        <v>77</v>
      </c>
      <c r="H50" s="10">
        <f t="shared" ca="1" si="3"/>
        <v>1200</v>
      </c>
      <c r="I50" s="10">
        <f t="shared" ca="1" si="4"/>
        <v>92400</v>
      </c>
      <c r="J50" s="10">
        <f ca="1">Table2[[#This Row],[Unit Price]] * RANDBETWEEN(70,90)/100</f>
        <v>1032</v>
      </c>
      <c r="K50" s="12">
        <f ca="1">(Table2[[#This Row],[Unit Price]] - Table2[[#This Row],[Cost per Unit]]) * Table2[[#This Row],[Units Sold]]</f>
        <v>12936</v>
      </c>
    </row>
    <row r="51" spans="1:11" ht="15.6" x14ac:dyDescent="0.3">
      <c r="A51" s="5" cm="1">
        <f t="array" ref="A51">1000 + ROW(51:51)</f>
        <v>1051</v>
      </c>
      <c r="B51" s="6">
        <f t="shared" ca="1" si="0"/>
        <v>45315</v>
      </c>
      <c r="C51" s="5" t="str" cm="1">
        <f t="array" aca="1" ref="C51" ca="1">INDEX({"S001","S002","S003","S004","S005"}, RANDBETWEEN(1,5))</f>
        <v>S003</v>
      </c>
      <c r="D51" s="5" t="str" cm="1">
        <f t="array" aca="1" ref="D51" ca="1">INDEX({"Mumbai","Delhi","Bangalore","Ahmedabad","Chennai"}, RANDBETWEEN(1,5))</f>
        <v>Ahmedabad</v>
      </c>
      <c r="E51" s="5" t="str" cm="1">
        <f t="array" aca="1" ref="E51" ca="1">INDEX({"Electronics","Groceries","Furniture","Clothing","Stationery"}, RANDBETWEEN(1,5))</f>
        <v>Stationery</v>
      </c>
      <c r="F51" s="5" t="str">
        <f t="shared" ca="1" si="1"/>
        <v>T-shirt</v>
      </c>
      <c r="G51" s="8">
        <f t="shared" ca="1" si="2"/>
        <v>60</v>
      </c>
      <c r="H51" s="10">
        <f t="shared" ca="1" si="3"/>
        <v>900</v>
      </c>
      <c r="I51" s="10">
        <f t="shared" ca="1" si="4"/>
        <v>54000</v>
      </c>
      <c r="J51" s="10">
        <f ca="1">Table2[[#This Row],[Unit Price]] * RANDBETWEEN(70,90)/100</f>
        <v>729</v>
      </c>
      <c r="K51" s="12">
        <f ca="1">(Table2[[#This Row],[Unit Price]] - Table2[[#This Row],[Cost per Unit]]) * Table2[[#This Row],[Units Sold]]</f>
        <v>10260</v>
      </c>
    </row>
    <row r="52" spans="1:11" ht="15.6" x14ac:dyDescent="0.3">
      <c r="A52" s="5" cm="1">
        <f t="array" ref="A52">1000 + ROW(52:52)</f>
        <v>1052</v>
      </c>
      <c r="B52" s="6">
        <f t="shared" ca="1" si="0"/>
        <v>45364</v>
      </c>
      <c r="C52" s="5" t="str" cm="1">
        <f t="array" aca="1" ref="C52" ca="1">INDEX({"S001","S002","S003","S004","S005"}, RANDBETWEEN(1,5))</f>
        <v>S002</v>
      </c>
      <c r="D52" s="5" t="str" cm="1">
        <f t="array" aca="1" ref="D52" ca="1">INDEX({"Mumbai","Delhi","Bangalore","Ahmedabad","Chennai"}, RANDBETWEEN(1,5))</f>
        <v>Bangalore</v>
      </c>
      <c r="E52" s="5" t="str" cm="1">
        <f t="array" aca="1" ref="E52" ca="1">INDEX({"Electronics","Groceries","Furniture","Clothing","Stationery"}, RANDBETWEEN(1,5))</f>
        <v>Electronics</v>
      </c>
      <c r="F52" s="5" t="str">
        <f t="shared" ca="1" si="1"/>
        <v>Shampoo</v>
      </c>
      <c r="G52" s="8">
        <f t="shared" ca="1" si="2"/>
        <v>68</v>
      </c>
      <c r="H52" s="10">
        <f t="shared" ca="1" si="3"/>
        <v>15000</v>
      </c>
      <c r="I52" s="10">
        <f t="shared" ca="1" si="4"/>
        <v>1020000</v>
      </c>
      <c r="J52" s="10">
        <f ca="1">Table2[[#This Row],[Unit Price]] * RANDBETWEEN(70,90)/100</f>
        <v>10950</v>
      </c>
      <c r="K52" s="12">
        <f ca="1">(Table2[[#This Row],[Unit Price]] - Table2[[#This Row],[Cost per Unit]]) * Table2[[#This Row],[Units Sold]]</f>
        <v>275400</v>
      </c>
    </row>
    <row r="53" spans="1:11" ht="15.6" x14ac:dyDescent="0.3">
      <c r="A53" s="5" cm="1">
        <f t="array" ref="A53">1000 + ROW(53:53)</f>
        <v>1053</v>
      </c>
      <c r="B53" s="6">
        <f t="shared" ca="1" si="0"/>
        <v>45321</v>
      </c>
      <c r="C53" s="5" t="str" cm="1">
        <f t="array" aca="1" ref="C53" ca="1">INDEX({"S001","S002","S003","S004","S005"}, RANDBETWEEN(1,5))</f>
        <v>S003</v>
      </c>
      <c r="D53" s="5" t="str" cm="1">
        <f t="array" aca="1" ref="D53" ca="1">INDEX({"Mumbai","Delhi","Bangalore","Ahmedabad","Chennai"}, RANDBETWEEN(1,5))</f>
        <v>Ahmedabad</v>
      </c>
      <c r="E53" s="5" t="str" cm="1">
        <f t="array" aca="1" ref="E53" ca="1">INDEX({"Electronics","Groceries","Furniture","Clothing","Stationery"}, RANDBETWEEN(1,5))</f>
        <v>Stationery</v>
      </c>
      <c r="F53" s="5" t="str">
        <f t="shared" ca="1" si="1"/>
        <v>Notebook</v>
      </c>
      <c r="G53" s="8">
        <f t="shared" ca="1" si="2"/>
        <v>77</v>
      </c>
      <c r="H53" s="10">
        <f t="shared" ca="1" si="3"/>
        <v>250</v>
      </c>
      <c r="I53" s="10">
        <f t="shared" ca="1" si="4"/>
        <v>19250</v>
      </c>
      <c r="J53" s="10">
        <f ca="1">Table2[[#This Row],[Unit Price]] * RANDBETWEEN(70,90)/100</f>
        <v>200</v>
      </c>
      <c r="K53" s="12">
        <f ca="1">(Table2[[#This Row],[Unit Price]] - Table2[[#This Row],[Cost per Unit]]) * Table2[[#This Row],[Units Sold]]</f>
        <v>3850</v>
      </c>
    </row>
    <row r="54" spans="1:11" ht="15.6" x14ac:dyDescent="0.3">
      <c r="A54" s="5" cm="1">
        <f t="array" ref="A54">1000 + ROW(54:54)</f>
        <v>1054</v>
      </c>
      <c r="B54" s="6">
        <f t="shared" ca="1" si="0"/>
        <v>45350</v>
      </c>
      <c r="C54" s="5" t="str" cm="1">
        <f t="array" aca="1" ref="C54" ca="1">INDEX({"S001","S002","S003","S004","S005"}, RANDBETWEEN(1,5))</f>
        <v>S004</v>
      </c>
      <c r="D54" s="5" t="str" cm="1">
        <f t="array" aca="1" ref="D54" ca="1">INDEX({"Mumbai","Delhi","Bangalore","Ahmedabad","Chennai"}, RANDBETWEEN(1,5))</f>
        <v>Mumbai</v>
      </c>
      <c r="E54" s="5" t="str" cm="1">
        <f t="array" aca="1" ref="E54" ca="1">INDEX({"Electronics","Groceries","Furniture","Clothing","Stationery"}, RANDBETWEEN(1,5))</f>
        <v>Stationery</v>
      </c>
      <c r="F54" s="5" t="str">
        <f t="shared" ca="1" si="1"/>
        <v>Smartphone</v>
      </c>
      <c r="G54" s="8">
        <f t="shared" ca="1" si="2"/>
        <v>96</v>
      </c>
      <c r="H54" s="10">
        <f t="shared" ca="1" si="3"/>
        <v>15000</v>
      </c>
      <c r="I54" s="10">
        <f t="shared" ca="1" si="4"/>
        <v>1440000</v>
      </c>
      <c r="J54" s="10">
        <f ca="1">Table2[[#This Row],[Unit Price]] * RANDBETWEEN(70,90)/100</f>
        <v>12600</v>
      </c>
      <c r="K54" s="12">
        <f ca="1">(Table2[[#This Row],[Unit Price]] - Table2[[#This Row],[Cost per Unit]]) * Table2[[#This Row],[Units Sold]]</f>
        <v>230400</v>
      </c>
    </row>
    <row r="55" spans="1:11" ht="15.6" x14ac:dyDescent="0.3">
      <c r="A55" s="5" cm="1">
        <f t="array" ref="A55">1000 + ROW(55:55)</f>
        <v>1055</v>
      </c>
      <c r="B55" s="6">
        <f t="shared" ca="1" si="0"/>
        <v>45357</v>
      </c>
      <c r="C55" s="5" t="str" cm="1">
        <f t="array" aca="1" ref="C55" ca="1">INDEX({"S001","S002","S003","S004","S005"}, RANDBETWEEN(1,5))</f>
        <v>S005</v>
      </c>
      <c r="D55" s="5" t="str" cm="1">
        <f t="array" aca="1" ref="D55" ca="1">INDEX({"Mumbai","Delhi","Bangalore","Ahmedabad","Chennai"}, RANDBETWEEN(1,5))</f>
        <v>Delhi</v>
      </c>
      <c r="E55" s="5" t="str" cm="1">
        <f t="array" aca="1" ref="E55" ca="1">INDEX({"Electronics","Groceries","Furniture","Clothing","Stationery"}, RANDBETWEEN(1,5))</f>
        <v>Clothing</v>
      </c>
      <c r="F55" s="5" t="str">
        <f t="shared" ca="1" si="1"/>
        <v>Desk Lamp</v>
      </c>
      <c r="G55" s="8">
        <f t="shared" ca="1" si="2"/>
        <v>14</v>
      </c>
      <c r="H55" s="10">
        <f t="shared" ca="1" si="3"/>
        <v>1200</v>
      </c>
      <c r="I55" s="10">
        <f t="shared" ca="1" si="4"/>
        <v>16800</v>
      </c>
      <c r="J55" s="10">
        <f ca="1">Table2[[#This Row],[Unit Price]] * RANDBETWEEN(70,90)/100</f>
        <v>960</v>
      </c>
      <c r="K55" s="12">
        <f ca="1">(Table2[[#This Row],[Unit Price]] - Table2[[#This Row],[Cost per Unit]]) * Table2[[#This Row],[Units Sold]]</f>
        <v>3360</v>
      </c>
    </row>
    <row r="56" spans="1:11" ht="15.6" x14ac:dyDescent="0.3">
      <c r="A56" s="5" cm="1">
        <f t="array" ref="A56">1000 + ROW(56:56)</f>
        <v>1056</v>
      </c>
      <c r="B56" s="6">
        <f t="shared" ca="1" si="0"/>
        <v>45336</v>
      </c>
      <c r="C56" s="5" t="str" cm="1">
        <f t="array" aca="1" ref="C56" ca="1">INDEX({"S001","S002","S003","S004","S005"}, RANDBETWEEN(1,5))</f>
        <v>S003</v>
      </c>
      <c r="D56" s="5" t="str" cm="1">
        <f t="array" aca="1" ref="D56" ca="1">INDEX({"Mumbai","Delhi","Bangalore","Ahmedabad","Chennai"}, RANDBETWEEN(1,5))</f>
        <v>Delhi</v>
      </c>
      <c r="E56" s="5" t="str" cm="1">
        <f t="array" aca="1" ref="E56" ca="1">INDEX({"Electronics","Groceries","Furniture","Clothing","Stationery"}, RANDBETWEEN(1,5))</f>
        <v>Electronics</v>
      </c>
      <c r="F56" s="5" t="str">
        <f t="shared" ca="1" si="1"/>
        <v>Laptop</v>
      </c>
      <c r="G56" s="8">
        <f t="shared" ca="1" si="2"/>
        <v>82</v>
      </c>
      <c r="H56" s="10">
        <f t="shared" ca="1" si="3"/>
        <v>1200</v>
      </c>
      <c r="I56" s="10">
        <f t="shared" ca="1" si="4"/>
        <v>98400</v>
      </c>
      <c r="J56" s="10">
        <f ca="1">Table2[[#This Row],[Unit Price]] * RANDBETWEEN(70,90)/100</f>
        <v>984</v>
      </c>
      <c r="K56" s="12">
        <f ca="1">(Table2[[#This Row],[Unit Price]] - Table2[[#This Row],[Cost per Unit]]) * Table2[[#This Row],[Units Sold]]</f>
        <v>17712</v>
      </c>
    </row>
    <row r="57" spans="1:11" ht="15.6" x14ac:dyDescent="0.3">
      <c r="A57" s="5" cm="1">
        <f t="array" ref="A57">1000 + ROW(57:57)</f>
        <v>1057</v>
      </c>
      <c r="B57" s="6">
        <f t="shared" ca="1" si="0"/>
        <v>45378</v>
      </c>
      <c r="C57" s="5" t="str" cm="1">
        <f t="array" aca="1" ref="C57" ca="1">INDEX({"S001","S002","S003","S004","S005"}, RANDBETWEEN(1,5))</f>
        <v>S003</v>
      </c>
      <c r="D57" s="5" t="str" cm="1">
        <f t="array" aca="1" ref="D57" ca="1">INDEX({"Mumbai","Delhi","Bangalore","Ahmedabad","Chennai"}, RANDBETWEEN(1,5))</f>
        <v>Delhi</v>
      </c>
      <c r="E57" s="5" t="str" cm="1">
        <f t="array" aca="1" ref="E57" ca="1">INDEX({"Electronics","Groceries","Furniture","Clothing","Stationery"}, RANDBETWEEN(1,5))</f>
        <v>Furniture</v>
      </c>
      <c r="F57" s="5" t="str">
        <f t="shared" ca="1" si="1"/>
        <v>Cooking Oil 1L</v>
      </c>
      <c r="G57" s="8">
        <f t="shared" ca="1" si="2"/>
        <v>20</v>
      </c>
      <c r="H57" s="10">
        <f t="shared" ca="1" si="3"/>
        <v>150</v>
      </c>
      <c r="I57" s="10">
        <f t="shared" ca="1" si="4"/>
        <v>3000</v>
      </c>
      <c r="J57" s="10">
        <f ca="1">Table2[[#This Row],[Unit Price]] * RANDBETWEEN(70,90)/100</f>
        <v>126</v>
      </c>
      <c r="K57" s="12">
        <f ca="1">(Table2[[#This Row],[Unit Price]] - Table2[[#This Row],[Cost per Unit]]) * Table2[[#This Row],[Units Sold]]</f>
        <v>480</v>
      </c>
    </row>
    <row r="58" spans="1:11" ht="15.6" x14ac:dyDescent="0.3">
      <c r="A58" s="5" cm="1">
        <f t="array" ref="A58">1000 + ROW(58:58)</f>
        <v>1058</v>
      </c>
      <c r="B58" s="6">
        <f t="shared" ca="1" si="0"/>
        <v>45374</v>
      </c>
      <c r="C58" s="5" t="str" cm="1">
        <f t="array" aca="1" ref="C58" ca="1">INDEX({"S001","S002","S003","S004","S005"}, RANDBETWEEN(1,5))</f>
        <v>S001</v>
      </c>
      <c r="D58" s="5" t="str" cm="1">
        <f t="array" aca="1" ref="D58" ca="1">INDEX({"Mumbai","Delhi","Bangalore","Ahmedabad","Chennai"}, RANDBETWEEN(1,5))</f>
        <v>Chennai</v>
      </c>
      <c r="E58" s="5" t="str" cm="1">
        <f t="array" aca="1" ref="E58" ca="1">INDEX({"Electronics","Groceries","Furniture","Clothing","Stationery"}, RANDBETWEEN(1,5))</f>
        <v>Stationery</v>
      </c>
      <c r="F58" s="5" t="str">
        <f t="shared" ca="1" si="1"/>
        <v>Laptop</v>
      </c>
      <c r="G58" s="8">
        <f t="shared" ca="1" si="2"/>
        <v>64</v>
      </c>
      <c r="H58" s="10">
        <f t="shared" ca="1" si="3"/>
        <v>900</v>
      </c>
      <c r="I58" s="10">
        <f t="shared" ca="1" si="4"/>
        <v>57600</v>
      </c>
      <c r="J58" s="10">
        <f ca="1">Table2[[#This Row],[Unit Price]] * RANDBETWEEN(70,90)/100</f>
        <v>639</v>
      </c>
      <c r="K58" s="12">
        <f ca="1">(Table2[[#This Row],[Unit Price]] - Table2[[#This Row],[Cost per Unit]]) * Table2[[#This Row],[Units Sold]]</f>
        <v>16704</v>
      </c>
    </row>
    <row r="59" spans="1:11" ht="15.6" x14ac:dyDescent="0.3">
      <c r="A59" s="5" cm="1">
        <f t="array" ref="A59">1000 + ROW(59:59)</f>
        <v>1059</v>
      </c>
      <c r="B59" s="6">
        <f t="shared" ca="1" si="0"/>
        <v>45344</v>
      </c>
      <c r="C59" s="5" t="str" cm="1">
        <f t="array" aca="1" ref="C59" ca="1">INDEX({"S001","S002","S003","S004","S005"}, RANDBETWEEN(1,5))</f>
        <v>S001</v>
      </c>
      <c r="D59" s="5" t="str" cm="1">
        <f t="array" aca="1" ref="D59" ca="1">INDEX({"Mumbai","Delhi","Bangalore","Ahmedabad","Chennai"}, RANDBETWEEN(1,5))</f>
        <v>Chennai</v>
      </c>
      <c r="E59" s="5" t="str" cm="1">
        <f t="array" aca="1" ref="E59" ca="1">INDEX({"Electronics","Groceries","Furniture","Clothing","Stationery"}, RANDBETWEEN(1,5))</f>
        <v>Electronics</v>
      </c>
      <c r="F59" s="5" t="str">
        <f t="shared" ca="1" si="1"/>
        <v>Office Chair</v>
      </c>
      <c r="G59" s="8">
        <f t="shared" ca="1" si="2"/>
        <v>9</v>
      </c>
      <c r="H59" s="10">
        <f t="shared" ca="1" si="3"/>
        <v>300</v>
      </c>
      <c r="I59" s="10">
        <f t="shared" ca="1" si="4"/>
        <v>2700</v>
      </c>
      <c r="J59" s="10">
        <f ca="1">Table2[[#This Row],[Unit Price]] * RANDBETWEEN(70,90)/100</f>
        <v>213</v>
      </c>
      <c r="K59" s="12">
        <f ca="1">(Table2[[#This Row],[Unit Price]] - Table2[[#This Row],[Cost per Unit]]) * Table2[[#This Row],[Units Sold]]</f>
        <v>783</v>
      </c>
    </row>
    <row r="60" spans="1:11" ht="15.6" x14ac:dyDescent="0.3">
      <c r="A60" s="5" cm="1">
        <f t="array" ref="A60">1000 + ROW(60:60)</f>
        <v>1060</v>
      </c>
      <c r="B60" s="6">
        <f t="shared" ca="1" si="0"/>
        <v>45359</v>
      </c>
      <c r="C60" s="5" t="str" cm="1">
        <f t="array" aca="1" ref="C60" ca="1">INDEX({"S001","S002","S003","S004","S005"}, RANDBETWEEN(1,5))</f>
        <v>S003</v>
      </c>
      <c r="D60" s="5" t="str" cm="1">
        <f t="array" aca="1" ref="D60" ca="1">INDEX({"Mumbai","Delhi","Bangalore","Ahmedabad","Chennai"}, RANDBETWEEN(1,5))</f>
        <v>Delhi</v>
      </c>
      <c r="E60" s="5" t="str" cm="1">
        <f t="array" aca="1" ref="E60" ca="1">INDEX({"Electronics","Groceries","Furniture","Clothing","Stationery"}, RANDBETWEEN(1,5))</f>
        <v>Electronics</v>
      </c>
      <c r="F60" s="5" t="str">
        <f t="shared" ca="1" si="1"/>
        <v>Office Chair</v>
      </c>
      <c r="G60" s="8">
        <f t="shared" ca="1" si="2"/>
        <v>79</v>
      </c>
      <c r="H60" s="10">
        <f t="shared" ca="1" si="3"/>
        <v>1200</v>
      </c>
      <c r="I60" s="10">
        <f t="shared" ca="1" si="4"/>
        <v>94800</v>
      </c>
      <c r="J60" s="10">
        <f ca="1">Table2[[#This Row],[Unit Price]] * RANDBETWEEN(70,90)/100</f>
        <v>912</v>
      </c>
      <c r="K60" s="12">
        <f ca="1">(Table2[[#This Row],[Unit Price]] - Table2[[#This Row],[Cost per Unit]]) * Table2[[#This Row],[Units Sold]]</f>
        <v>22752</v>
      </c>
    </row>
    <row r="61" spans="1:11" ht="15.6" x14ac:dyDescent="0.3">
      <c r="A61" s="5" cm="1">
        <f t="array" ref="A61">1000 + ROW(60:60)</f>
        <v>1060</v>
      </c>
      <c r="B61" s="6">
        <f t="shared" ca="1" si="0"/>
        <v>45322</v>
      </c>
      <c r="C61" s="5" t="str" cm="1">
        <f t="array" aca="1" ref="C61" ca="1">INDEX({"S001","S002","S003","S004","S005"}, RANDBETWEEN(1,5))</f>
        <v>S001</v>
      </c>
      <c r="D61" s="5" t="str" cm="1">
        <f t="array" aca="1" ref="D61" ca="1">INDEX({"Mumbai","Delhi","Bangalore","Ahmedabad","Chennai"}, RANDBETWEEN(1,5))</f>
        <v>Bangalore</v>
      </c>
      <c r="E61" s="5" t="str" cm="1">
        <f t="array" aca="1" ref="E61" ca="1">INDEX({"Electronics","Groceries","Furniture","Clothing","Stationery"}, RANDBETWEEN(1,5))</f>
        <v>Electronics</v>
      </c>
      <c r="F61" s="5" t="str">
        <f t="shared" ca="1" si="1"/>
        <v>Desk Lamp</v>
      </c>
      <c r="G61" s="8">
        <f t="shared" ca="1" si="2"/>
        <v>62</v>
      </c>
      <c r="H61" s="10">
        <f t="shared" ca="1" si="3"/>
        <v>250</v>
      </c>
      <c r="I61" s="10">
        <f t="shared" ca="1" si="4"/>
        <v>15500</v>
      </c>
      <c r="J61" s="10">
        <f ca="1">Table2[[#This Row],[Unit Price]] * RANDBETWEEN(70,90)/100</f>
        <v>212.5</v>
      </c>
      <c r="K61" s="12">
        <f ca="1">(Table2[[#This Row],[Unit Price]] - Table2[[#This Row],[Cost per Unit]]) * Table2[[#This Row],[Units Sold]]</f>
        <v>2325</v>
      </c>
    </row>
    <row r="62" spans="1:11" ht="15.6" x14ac:dyDescent="0.3">
      <c r="A62" s="5" cm="1">
        <f t="array" ref="A62">1000 + ROW(62:62)</f>
        <v>1062</v>
      </c>
      <c r="B62" s="6">
        <f t="shared" ca="1" si="0"/>
        <v>45363</v>
      </c>
      <c r="C62" s="5" t="str" cm="1">
        <f t="array" aca="1" ref="C62" ca="1">INDEX({"S001","S002","S003","S004","S005"}, RANDBETWEEN(1,5))</f>
        <v>S001</v>
      </c>
      <c r="D62" s="5" t="str" cm="1">
        <f t="array" aca="1" ref="D62" ca="1">INDEX({"Mumbai","Delhi","Bangalore","Ahmedabad","Chennai"}, RANDBETWEEN(1,5))</f>
        <v>Bangalore</v>
      </c>
      <c r="E62" s="5" t="str" cm="1">
        <f t="array" aca="1" ref="E62" ca="1">INDEX({"Electronics","Groceries","Furniture","Clothing","Stationery"}, RANDBETWEEN(1,5))</f>
        <v>Stationery</v>
      </c>
      <c r="F62" s="5" t="str">
        <f t="shared" ca="1" si="1"/>
        <v>Notebook</v>
      </c>
      <c r="G62" s="8">
        <f t="shared" ca="1" si="2"/>
        <v>32</v>
      </c>
      <c r="H62" s="10">
        <f t="shared" ca="1" si="3"/>
        <v>15000</v>
      </c>
      <c r="I62" s="10">
        <f t="shared" ca="1" si="4"/>
        <v>480000</v>
      </c>
      <c r="J62" s="10">
        <f ca="1">Table2[[#This Row],[Unit Price]] * RANDBETWEEN(70,90)/100</f>
        <v>13050</v>
      </c>
      <c r="K62" s="12">
        <f ca="1">(Table2[[#This Row],[Unit Price]] - Table2[[#This Row],[Cost per Unit]]) * Table2[[#This Row],[Units Sold]]</f>
        <v>62400</v>
      </c>
    </row>
    <row r="63" spans="1:11" ht="15.6" x14ac:dyDescent="0.3">
      <c r="A63" s="5" cm="1">
        <f t="array" ref="A63">1000 + ROW(63:63)</f>
        <v>1063</v>
      </c>
      <c r="B63" s="6">
        <f t="shared" ca="1" si="0"/>
        <v>45327</v>
      </c>
      <c r="C63" s="5" t="str" cm="1">
        <f t="array" aca="1" ref="C63" ca="1">INDEX({"S001","S002","S003","S004","S005"}, RANDBETWEEN(1,5))</f>
        <v>S005</v>
      </c>
      <c r="D63" s="5" t="str" cm="1">
        <f t="array" aca="1" ref="D63" ca="1">INDEX({"Mumbai","Delhi","Bangalore","Ahmedabad","Chennai"}, RANDBETWEEN(1,5))</f>
        <v>Bangalore</v>
      </c>
      <c r="E63" s="5" t="str" cm="1">
        <f t="array" aca="1" ref="E63" ca="1">INDEX({"Electronics","Groceries","Furniture","Clothing","Stationery"}, RANDBETWEEN(1,5))</f>
        <v>Electronics</v>
      </c>
      <c r="F63" s="5" t="str">
        <f t="shared" ca="1" si="1"/>
        <v>Notebook</v>
      </c>
      <c r="G63" s="8">
        <f t="shared" ca="1" si="2"/>
        <v>39</v>
      </c>
      <c r="H63" s="10">
        <f t="shared" ca="1" si="3"/>
        <v>1200</v>
      </c>
      <c r="I63" s="10">
        <f t="shared" ca="1" si="4"/>
        <v>46800</v>
      </c>
      <c r="J63" s="10">
        <f ca="1">Table2[[#This Row],[Unit Price]] * RANDBETWEEN(70,90)/100</f>
        <v>876</v>
      </c>
      <c r="K63" s="12">
        <f ca="1">(Table2[[#This Row],[Unit Price]] - Table2[[#This Row],[Cost per Unit]]) * Table2[[#This Row],[Units Sold]]</f>
        <v>12636</v>
      </c>
    </row>
    <row r="64" spans="1:11" ht="15.6" x14ac:dyDescent="0.3">
      <c r="A64" s="5" cm="1">
        <f t="array" ref="A64">1000 + ROW(64:64)</f>
        <v>1064</v>
      </c>
      <c r="B64" s="6">
        <f t="shared" ca="1" si="0"/>
        <v>45325</v>
      </c>
      <c r="C64" s="5" t="str" cm="1">
        <f t="array" aca="1" ref="C64" ca="1">INDEX({"S001","S002","S003","S004","S005"}, RANDBETWEEN(1,5))</f>
        <v>S004</v>
      </c>
      <c r="D64" s="5" t="str" cm="1">
        <f t="array" aca="1" ref="D64" ca="1">INDEX({"Mumbai","Delhi","Bangalore","Ahmedabad","Chennai"}, RANDBETWEEN(1,5))</f>
        <v>Chennai</v>
      </c>
      <c r="E64" s="5" t="str" cm="1">
        <f t="array" aca="1" ref="E64" ca="1">INDEX({"Electronics","Groceries","Furniture","Clothing","Stationery"}, RANDBETWEEN(1,5))</f>
        <v>Furniture</v>
      </c>
      <c r="F64" s="5" t="str">
        <f t="shared" ca="1" si="1"/>
        <v>Office Chair</v>
      </c>
      <c r="G64" s="8">
        <f t="shared" ca="1" si="2"/>
        <v>98</v>
      </c>
      <c r="H64" s="10">
        <f t="shared" ca="1" si="3"/>
        <v>15000</v>
      </c>
      <c r="I64" s="10">
        <f t="shared" ca="1" si="4"/>
        <v>1470000</v>
      </c>
      <c r="J64" s="10">
        <f ca="1">Table2[[#This Row],[Unit Price]] * RANDBETWEEN(70,90)/100</f>
        <v>12900</v>
      </c>
      <c r="K64" s="12">
        <f ca="1">(Table2[[#This Row],[Unit Price]] - Table2[[#This Row],[Cost per Unit]]) * Table2[[#This Row],[Units Sold]]</f>
        <v>205800</v>
      </c>
    </row>
    <row r="65" spans="1:11" ht="15.6" x14ac:dyDescent="0.3">
      <c r="A65" s="5" cm="1">
        <f t="array" ref="A65">1000 + ROW(65:65)</f>
        <v>1065</v>
      </c>
      <c r="B65" s="6">
        <f t="shared" ca="1" si="0"/>
        <v>45303</v>
      </c>
      <c r="C65" s="5" t="str" cm="1">
        <f t="array" aca="1" ref="C65" ca="1">INDEX({"S001","S002","S003","S004","S005"}, RANDBETWEEN(1,5))</f>
        <v>S003</v>
      </c>
      <c r="D65" s="5" t="str" cm="1">
        <f t="array" aca="1" ref="D65" ca="1">INDEX({"Mumbai","Delhi","Bangalore","Ahmedabad","Chennai"}, RANDBETWEEN(1,5))</f>
        <v>Delhi</v>
      </c>
      <c r="E65" s="5" t="str" cm="1">
        <f t="array" aca="1" ref="E65" ca="1">INDEX({"Electronics","Groceries","Furniture","Clothing","Stationery"}, RANDBETWEEN(1,5))</f>
        <v>Electronics</v>
      </c>
      <c r="F65" s="5" t="str">
        <f t="shared" ca="1" si="1"/>
        <v>Office Chair</v>
      </c>
      <c r="G65" s="8">
        <f t="shared" ca="1" si="2"/>
        <v>72</v>
      </c>
      <c r="H65" s="10">
        <f t="shared" ca="1" si="3"/>
        <v>250</v>
      </c>
      <c r="I65" s="10">
        <f t="shared" ca="1" si="4"/>
        <v>18000</v>
      </c>
      <c r="J65" s="10">
        <f ca="1">Table2[[#This Row],[Unit Price]] * RANDBETWEEN(70,90)/100</f>
        <v>222.5</v>
      </c>
      <c r="K65" s="12">
        <f ca="1">(Table2[[#This Row],[Unit Price]] - Table2[[#This Row],[Cost per Unit]]) * Table2[[#This Row],[Units Sold]]</f>
        <v>1980</v>
      </c>
    </row>
    <row r="66" spans="1:11" ht="15.6" x14ac:dyDescent="0.3">
      <c r="A66" s="5" cm="1">
        <f t="array" ref="A66">1000 + ROW(66:66)</f>
        <v>1066</v>
      </c>
      <c r="B66" s="6">
        <f t="shared" ref="B66:B129" ca="1" si="5">RANDBETWEEN(DATE(2024,1,1), DATE(2024,3,31))</f>
        <v>45306</v>
      </c>
      <c r="C66" s="5" t="str" cm="1">
        <f t="array" aca="1" ref="C66" ca="1">INDEX({"S001","S002","S003","S004","S005"}, RANDBETWEEN(1,5))</f>
        <v>S003</v>
      </c>
      <c r="D66" s="5" t="str" cm="1">
        <f t="array" aca="1" ref="D66" ca="1">INDEX({"Mumbai","Delhi","Bangalore","Ahmedabad","Chennai"}, RANDBETWEEN(1,5))</f>
        <v>Ahmedabad</v>
      </c>
      <c r="E66" s="5" t="str" cm="1">
        <f t="array" aca="1" ref="E66" ca="1">INDEX({"Electronics","Groceries","Furniture","Clothing","Stationery"}, RANDBETWEEN(1,5))</f>
        <v>Groceries</v>
      </c>
      <c r="F66" s="5" t="str">
        <f t="shared" ref="F66:F129" ca="1" si="6">CHOOSE(RANDBETWEEN(1,10),
 "Smartphone","Laptop","Rice 5kg","Cooking Oil 1L",
 "Office Chair","Table","T-shirt","Notebook",
 "Desk Lamp","Shampoo")</f>
        <v>Cooking Oil 1L</v>
      </c>
      <c r="G66" s="8">
        <f t="shared" ref="G66:G129" ca="1" si="7">RANDBETWEEN(1,100)</f>
        <v>50</v>
      </c>
      <c r="H66" s="10">
        <f t="shared" ref="H66:H129" ca="1" si="8">CHOOSE(RANDBETWEEN(1,10), 15000, 30000, 250, 500, 1200, 700, 300, 50, 900, 150)</f>
        <v>500</v>
      </c>
      <c r="I66" s="10">
        <f t="shared" ref="I66:I129" ca="1" si="9">G66 * H66</f>
        <v>25000</v>
      </c>
      <c r="J66" s="10">
        <f ca="1">Table2[[#This Row],[Unit Price]] * RANDBETWEEN(70,90)/100</f>
        <v>370</v>
      </c>
      <c r="K66" s="12">
        <f ca="1">(Table2[[#This Row],[Unit Price]] - Table2[[#This Row],[Cost per Unit]]) * Table2[[#This Row],[Units Sold]]</f>
        <v>6500</v>
      </c>
    </row>
    <row r="67" spans="1:11" ht="15.6" x14ac:dyDescent="0.3">
      <c r="A67" s="5" cm="1">
        <f t="array" ref="A67">1000 + ROW(67:67)</f>
        <v>1067</v>
      </c>
      <c r="B67" s="6">
        <f t="shared" ca="1" si="5"/>
        <v>45337</v>
      </c>
      <c r="C67" s="5" t="str" cm="1">
        <f t="array" aca="1" ref="C67" ca="1">INDEX({"S001","S002","S003","S004","S005"}, RANDBETWEEN(1,5))</f>
        <v>S005</v>
      </c>
      <c r="D67" s="5" t="str" cm="1">
        <f t="array" aca="1" ref="D67" ca="1">INDEX({"Mumbai","Delhi","Bangalore","Ahmedabad","Chennai"}, RANDBETWEEN(1,5))</f>
        <v>Mumbai</v>
      </c>
      <c r="E67" s="5" t="str" cm="1">
        <f t="array" aca="1" ref="E67" ca="1">INDEX({"Electronics","Groceries","Furniture","Clothing","Stationery"}, RANDBETWEEN(1,5))</f>
        <v>Groceries</v>
      </c>
      <c r="F67" s="5" t="str">
        <f t="shared" ca="1" si="6"/>
        <v>Table</v>
      </c>
      <c r="G67" s="8">
        <f t="shared" ca="1" si="7"/>
        <v>4</v>
      </c>
      <c r="H67" s="10">
        <f t="shared" ca="1" si="8"/>
        <v>700</v>
      </c>
      <c r="I67" s="10">
        <f t="shared" ca="1" si="9"/>
        <v>2800</v>
      </c>
      <c r="J67" s="10">
        <f ca="1">Table2[[#This Row],[Unit Price]] * RANDBETWEEN(70,90)/100</f>
        <v>553</v>
      </c>
      <c r="K67" s="12">
        <f ca="1">(Table2[[#This Row],[Unit Price]] - Table2[[#This Row],[Cost per Unit]]) * Table2[[#This Row],[Units Sold]]</f>
        <v>588</v>
      </c>
    </row>
    <row r="68" spans="1:11" ht="15.6" x14ac:dyDescent="0.3">
      <c r="A68" s="5" cm="1">
        <f t="array" ref="A68">1000 + ROW(68:68)</f>
        <v>1068</v>
      </c>
      <c r="B68" s="6">
        <f t="shared" ca="1" si="5"/>
        <v>45323</v>
      </c>
      <c r="C68" s="5" t="str" cm="1">
        <f t="array" aca="1" ref="C68" ca="1">INDEX({"S001","S002","S003","S004","S005"}, RANDBETWEEN(1,5))</f>
        <v>S005</v>
      </c>
      <c r="D68" s="5" t="str" cm="1">
        <f t="array" aca="1" ref="D68" ca="1">INDEX({"Mumbai","Delhi","Bangalore","Ahmedabad","Chennai"}, RANDBETWEEN(1,5))</f>
        <v>Bangalore</v>
      </c>
      <c r="E68" s="5" t="str" cm="1">
        <f t="array" aca="1" ref="E68" ca="1">INDEX({"Electronics","Groceries","Furniture","Clothing","Stationery"}, RANDBETWEEN(1,5))</f>
        <v>Electronics</v>
      </c>
      <c r="F68" s="5" t="str">
        <f t="shared" ca="1" si="6"/>
        <v>Shampoo</v>
      </c>
      <c r="G68" s="8">
        <f t="shared" ca="1" si="7"/>
        <v>91</v>
      </c>
      <c r="H68" s="10">
        <f t="shared" ca="1" si="8"/>
        <v>50</v>
      </c>
      <c r="I68" s="10">
        <f t="shared" ca="1" si="9"/>
        <v>4550</v>
      </c>
      <c r="J68" s="10">
        <f ca="1">Table2[[#This Row],[Unit Price]] * RANDBETWEEN(70,90)/100</f>
        <v>39.5</v>
      </c>
      <c r="K68" s="12">
        <f ca="1">(Table2[[#This Row],[Unit Price]] - Table2[[#This Row],[Cost per Unit]]) * Table2[[#This Row],[Units Sold]]</f>
        <v>955.5</v>
      </c>
    </row>
    <row r="69" spans="1:11" ht="15.6" x14ac:dyDescent="0.3">
      <c r="A69" s="5" cm="1">
        <f t="array" ref="A69">1000 + ROW(69:69)</f>
        <v>1069</v>
      </c>
      <c r="B69" s="6">
        <f t="shared" ca="1" si="5"/>
        <v>45313</v>
      </c>
      <c r="C69" s="5" t="str" cm="1">
        <f t="array" aca="1" ref="C69" ca="1">INDEX({"S001","S002","S003","S004","S005"}, RANDBETWEEN(1,5))</f>
        <v>S005</v>
      </c>
      <c r="D69" s="5" t="str" cm="1">
        <f t="array" aca="1" ref="D69" ca="1">INDEX({"Mumbai","Delhi","Bangalore","Ahmedabad","Chennai"}, RANDBETWEEN(1,5))</f>
        <v>Bangalore</v>
      </c>
      <c r="E69" s="5" t="str" cm="1">
        <f t="array" aca="1" ref="E69" ca="1">INDEX({"Electronics","Groceries","Furniture","Clothing","Stationery"}, RANDBETWEEN(1,5))</f>
        <v>Groceries</v>
      </c>
      <c r="F69" s="5" t="str">
        <f t="shared" ca="1" si="6"/>
        <v>T-shirt</v>
      </c>
      <c r="G69" s="8">
        <f t="shared" ca="1" si="7"/>
        <v>33</v>
      </c>
      <c r="H69" s="10">
        <f t="shared" ca="1" si="8"/>
        <v>1200</v>
      </c>
      <c r="I69" s="10">
        <f t="shared" ca="1" si="9"/>
        <v>39600</v>
      </c>
      <c r="J69" s="10">
        <f ca="1">Table2[[#This Row],[Unit Price]] * RANDBETWEEN(70,90)/100</f>
        <v>948</v>
      </c>
      <c r="K69" s="12">
        <f ca="1">(Table2[[#This Row],[Unit Price]] - Table2[[#This Row],[Cost per Unit]]) * Table2[[#This Row],[Units Sold]]</f>
        <v>8316</v>
      </c>
    </row>
    <row r="70" spans="1:11" ht="15.6" x14ac:dyDescent="0.3">
      <c r="A70" s="5" cm="1">
        <f t="array" ref="A70">1000 + ROW(70:70)</f>
        <v>1070</v>
      </c>
      <c r="B70" s="6">
        <f t="shared" ca="1" si="5"/>
        <v>45359</v>
      </c>
      <c r="C70" s="5" t="str" cm="1">
        <f t="array" aca="1" ref="C70" ca="1">INDEX({"S001","S002","S003","S004","S005"}, RANDBETWEEN(1,5))</f>
        <v>S005</v>
      </c>
      <c r="D70" s="5" t="str" cm="1">
        <f t="array" aca="1" ref="D70" ca="1">INDEX({"Mumbai","Delhi","Bangalore","Ahmedabad","Chennai"}, RANDBETWEEN(1,5))</f>
        <v>Ahmedabad</v>
      </c>
      <c r="E70" s="5" t="str" cm="1">
        <f t="array" aca="1" ref="E70" ca="1">INDEX({"Electronics","Groceries","Furniture","Clothing","Stationery"}, RANDBETWEEN(1,5))</f>
        <v>Groceries</v>
      </c>
      <c r="F70" s="5" t="str">
        <f t="shared" ca="1" si="6"/>
        <v>Desk Lamp</v>
      </c>
      <c r="G70" s="8">
        <f t="shared" ca="1" si="7"/>
        <v>89</v>
      </c>
      <c r="H70" s="10">
        <f t="shared" ca="1" si="8"/>
        <v>150</v>
      </c>
      <c r="I70" s="10">
        <f t="shared" ca="1" si="9"/>
        <v>13350</v>
      </c>
      <c r="J70" s="10">
        <f ca="1">Table2[[#This Row],[Unit Price]] * RANDBETWEEN(70,90)/100</f>
        <v>117</v>
      </c>
      <c r="K70" s="12">
        <f ca="1">(Table2[[#This Row],[Unit Price]] - Table2[[#This Row],[Cost per Unit]]) * Table2[[#This Row],[Units Sold]]</f>
        <v>2937</v>
      </c>
    </row>
    <row r="71" spans="1:11" ht="15.6" x14ac:dyDescent="0.3">
      <c r="A71" s="5" cm="1">
        <f t="array" ref="A71">1000 + ROW(71:71)</f>
        <v>1071</v>
      </c>
      <c r="B71" s="6">
        <f t="shared" ca="1" si="5"/>
        <v>45364</v>
      </c>
      <c r="C71" s="5" t="str" cm="1">
        <f t="array" aca="1" ref="C71" ca="1">INDEX({"S001","S002","S003","S004","S005"}, RANDBETWEEN(1,5))</f>
        <v>S002</v>
      </c>
      <c r="D71" s="5" t="str" cm="1">
        <f t="array" aca="1" ref="D71" ca="1">INDEX({"Mumbai","Delhi","Bangalore","Ahmedabad","Chennai"}, RANDBETWEEN(1,5))</f>
        <v>Ahmedabad</v>
      </c>
      <c r="E71" s="5" t="str" cm="1">
        <f t="array" aca="1" ref="E71" ca="1">INDEX({"Electronics","Groceries","Furniture","Clothing","Stationery"}, RANDBETWEEN(1,5))</f>
        <v>Clothing</v>
      </c>
      <c r="F71" s="5" t="str">
        <f t="shared" ca="1" si="6"/>
        <v>Shampoo</v>
      </c>
      <c r="G71" s="8">
        <f t="shared" ca="1" si="7"/>
        <v>67</v>
      </c>
      <c r="H71" s="10">
        <f t="shared" ca="1" si="8"/>
        <v>1200</v>
      </c>
      <c r="I71" s="10">
        <f t="shared" ca="1" si="9"/>
        <v>80400</v>
      </c>
      <c r="J71" s="10">
        <f ca="1">Table2[[#This Row],[Unit Price]] * RANDBETWEEN(70,90)/100</f>
        <v>936</v>
      </c>
      <c r="K71" s="12">
        <f ca="1">(Table2[[#This Row],[Unit Price]] - Table2[[#This Row],[Cost per Unit]]) * Table2[[#This Row],[Units Sold]]</f>
        <v>17688</v>
      </c>
    </row>
    <row r="72" spans="1:11" ht="15.6" x14ac:dyDescent="0.3">
      <c r="A72" s="5" cm="1">
        <f t="array" ref="A72">1000 + ROW(72:72)</f>
        <v>1072</v>
      </c>
      <c r="B72" s="6">
        <f t="shared" ca="1" si="5"/>
        <v>45310</v>
      </c>
      <c r="C72" s="5" t="str" cm="1">
        <f t="array" aca="1" ref="C72" ca="1">INDEX({"S001","S002","S003","S004","S005"}, RANDBETWEEN(1,5))</f>
        <v>S001</v>
      </c>
      <c r="D72" s="5" t="str" cm="1">
        <f t="array" aca="1" ref="D72" ca="1">INDEX({"Mumbai","Delhi","Bangalore","Ahmedabad","Chennai"}, RANDBETWEEN(1,5))</f>
        <v>Chennai</v>
      </c>
      <c r="E72" s="5" t="str" cm="1">
        <f t="array" aca="1" ref="E72" ca="1">INDEX({"Electronics","Groceries","Furniture","Clothing","Stationery"}, RANDBETWEEN(1,5))</f>
        <v>Groceries</v>
      </c>
      <c r="F72" s="5" t="str">
        <f t="shared" ca="1" si="6"/>
        <v>Office Chair</v>
      </c>
      <c r="G72" s="8">
        <f t="shared" ca="1" si="7"/>
        <v>58</v>
      </c>
      <c r="H72" s="10">
        <f t="shared" ca="1" si="8"/>
        <v>1200</v>
      </c>
      <c r="I72" s="10">
        <f t="shared" ca="1" si="9"/>
        <v>69600</v>
      </c>
      <c r="J72" s="10">
        <f ca="1">Table2[[#This Row],[Unit Price]] * RANDBETWEEN(70,90)/100</f>
        <v>852</v>
      </c>
      <c r="K72" s="12">
        <f ca="1">(Table2[[#This Row],[Unit Price]] - Table2[[#This Row],[Cost per Unit]]) * Table2[[#This Row],[Units Sold]]</f>
        <v>20184</v>
      </c>
    </row>
    <row r="73" spans="1:11" ht="15.6" x14ac:dyDescent="0.3">
      <c r="A73" s="5" cm="1">
        <f t="array" ref="A73">1000 + ROW(73:73)</f>
        <v>1073</v>
      </c>
      <c r="B73" s="6">
        <f t="shared" ca="1" si="5"/>
        <v>45380</v>
      </c>
      <c r="C73" s="5" t="str" cm="1">
        <f t="array" aca="1" ref="C73" ca="1">INDEX({"S001","S002","S003","S004","S005"}, RANDBETWEEN(1,5))</f>
        <v>S004</v>
      </c>
      <c r="D73" s="5" t="str" cm="1">
        <f t="array" aca="1" ref="D73" ca="1">INDEX({"Mumbai","Delhi","Bangalore","Ahmedabad","Chennai"}, RANDBETWEEN(1,5))</f>
        <v>Mumbai</v>
      </c>
      <c r="E73" s="5" t="str" cm="1">
        <f t="array" aca="1" ref="E73" ca="1">INDEX({"Electronics","Groceries","Furniture","Clothing","Stationery"}, RANDBETWEEN(1,5))</f>
        <v>Electronics</v>
      </c>
      <c r="F73" s="5" t="str">
        <f t="shared" ca="1" si="6"/>
        <v>Rice 5kg</v>
      </c>
      <c r="G73" s="8">
        <f t="shared" ca="1" si="7"/>
        <v>17</v>
      </c>
      <c r="H73" s="10">
        <f t="shared" ca="1" si="8"/>
        <v>1200</v>
      </c>
      <c r="I73" s="10">
        <f t="shared" ca="1" si="9"/>
        <v>20400</v>
      </c>
      <c r="J73" s="10">
        <f ca="1">Table2[[#This Row],[Unit Price]] * RANDBETWEEN(70,90)/100</f>
        <v>912</v>
      </c>
      <c r="K73" s="12">
        <f ca="1">(Table2[[#This Row],[Unit Price]] - Table2[[#This Row],[Cost per Unit]]) * Table2[[#This Row],[Units Sold]]</f>
        <v>4896</v>
      </c>
    </row>
    <row r="74" spans="1:11" ht="15.6" x14ac:dyDescent="0.3">
      <c r="A74" s="5" cm="1">
        <f t="array" ref="A74">1000 + ROW(74:74)</f>
        <v>1074</v>
      </c>
      <c r="B74" s="6">
        <f t="shared" ca="1" si="5"/>
        <v>45366</v>
      </c>
      <c r="C74" s="5" t="str" cm="1">
        <f t="array" aca="1" ref="C74" ca="1">INDEX({"S001","S002","S003","S004","S005"}, RANDBETWEEN(1,5))</f>
        <v>S002</v>
      </c>
      <c r="D74" s="5" t="str" cm="1">
        <f t="array" aca="1" ref="D74" ca="1">INDEX({"Mumbai","Delhi","Bangalore","Ahmedabad","Chennai"}, RANDBETWEEN(1,5))</f>
        <v>Delhi</v>
      </c>
      <c r="E74" s="5" t="str" cm="1">
        <f t="array" aca="1" ref="E74" ca="1">INDEX({"Electronics","Groceries","Furniture","Clothing","Stationery"}, RANDBETWEEN(1,5))</f>
        <v>Stationery</v>
      </c>
      <c r="F74" s="5" t="str">
        <f t="shared" ca="1" si="6"/>
        <v>T-shirt</v>
      </c>
      <c r="G74" s="8">
        <f t="shared" ca="1" si="7"/>
        <v>77</v>
      </c>
      <c r="H74" s="10">
        <f t="shared" ca="1" si="8"/>
        <v>500</v>
      </c>
      <c r="I74" s="10">
        <f t="shared" ca="1" si="9"/>
        <v>38500</v>
      </c>
      <c r="J74" s="10">
        <f ca="1">Table2[[#This Row],[Unit Price]] * RANDBETWEEN(70,90)/100</f>
        <v>420</v>
      </c>
      <c r="K74" s="12">
        <f ca="1">(Table2[[#This Row],[Unit Price]] - Table2[[#This Row],[Cost per Unit]]) * Table2[[#This Row],[Units Sold]]</f>
        <v>6160</v>
      </c>
    </row>
    <row r="75" spans="1:11" ht="15.6" x14ac:dyDescent="0.3">
      <c r="A75" s="5" cm="1">
        <f t="array" ref="A75">1000 + ROW(75:75)</f>
        <v>1075</v>
      </c>
      <c r="B75" s="6">
        <f t="shared" ca="1" si="5"/>
        <v>45380</v>
      </c>
      <c r="C75" s="5" t="str" cm="1">
        <f t="array" aca="1" ref="C75" ca="1">INDEX({"S001","S002","S003","S004","S005"}, RANDBETWEEN(1,5))</f>
        <v>S001</v>
      </c>
      <c r="D75" s="5" t="str" cm="1">
        <f t="array" aca="1" ref="D75" ca="1">INDEX({"Mumbai","Delhi","Bangalore","Ahmedabad","Chennai"}, RANDBETWEEN(1,5))</f>
        <v>Ahmedabad</v>
      </c>
      <c r="E75" s="5" t="str" cm="1">
        <f t="array" aca="1" ref="E75" ca="1">INDEX({"Electronics","Groceries","Furniture","Clothing","Stationery"}, RANDBETWEEN(1,5))</f>
        <v>Furniture</v>
      </c>
      <c r="F75" s="5" t="str">
        <f t="shared" ca="1" si="6"/>
        <v>Cooking Oil 1L</v>
      </c>
      <c r="G75" s="8">
        <f t="shared" ca="1" si="7"/>
        <v>2</v>
      </c>
      <c r="H75" s="10">
        <f t="shared" ca="1" si="8"/>
        <v>500</v>
      </c>
      <c r="I75" s="10">
        <f t="shared" ca="1" si="9"/>
        <v>1000</v>
      </c>
      <c r="J75" s="10">
        <f ca="1">Table2[[#This Row],[Unit Price]] * RANDBETWEEN(70,90)/100</f>
        <v>390</v>
      </c>
      <c r="K75" s="12">
        <f ca="1">(Table2[[#This Row],[Unit Price]] - Table2[[#This Row],[Cost per Unit]]) * Table2[[#This Row],[Units Sold]]</f>
        <v>220</v>
      </c>
    </row>
    <row r="76" spans="1:11" ht="15.6" x14ac:dyDescent="0.3">
      <c r="A76" s="5" cm="1">
        <f t="array" ref="A76">1000 + ROW(76:76)</f>
        <v>1076</v>
      </c>
      <c r="B76" s="6">
        <f t="shared" ca="1" si="5"/>
        <v>45375</v>
      </c>
      <c r="C76" s="5" t="str" cm="1">
        <f t="array" aca="1" ref="C76" ca="1">INDEX({"S001","S002","S003","S004","S005"}, RANDBETWEEN(1,5))</f>
        <v>S002</v>
      </c>
      <c r="D76" s="5" t="str" cm="1">
        <f t="array" aca="1" ref="D76" ca="1">INDEX({"Mumbai","Delhi","Bangalore","Ahmedabad","Chennai"}, RANDBETWEEN(1,5))</f>
        <v>Delhi</v>
      </c>
      <c r="E76" s="5" t="str" cm="1">
        <f t="array" aca="1" ref="E76" ca="1">INDEX({"Electronics","Groceries","Furniture","Clothing","Stationery"}, RANDBETWEEN(1,5))</f>
        <v>Groceries</v>
      </c>
      <c r="F76" s="5" t="str">
        <f t="shared" ca="1" si="6"/>
        <v>Rice 5kg</v>
      </c>
      <c r="G76" s="8">
        <f t="shared" ca="1" si="7"/>
        <v>10</v>
      </c>
      <c r="H76" s="10">
        <f t="shared" ca="1" si="8"/>
        <v>1200</v>
      </c>
      <c r="I76" s="10">
        <f t="shared" ca="1" si="9"/>
        <v>12000</v>
      </c>
      <c r="J76" s="10">
        <f ca="1">Table2[[#This Row],[Unit Price]] * RANDBETWEEN(70,90)/100</f>
        <v>1032</v>
      </c>
      <c r="K76" s="12">
        <f ca="1">(Table2[[#This Row],[Unit Price]] - Table2[[#This Row],[Cost per Unit]]) * Table2[[#This Row],[Units Sold]]</f>
        <v>1680</v>
      </c>
    </row>
    <row r="77" spans="1:11" ht="15.6" x14ac:dyDescent="0.3">
      <c r="A77" s="5" cm="1">
        <f t="array" ref="A77">1000 + ROW(77:77)</f>
        <v>1077</v>
      </c>
      <c r="B77" s="6">
        <f t="shared" ca="1" si="5"/>
        <v>45353</v>
      </c>
      <c r="C77" s="5" t="str" cm="1">
        <f t="array" aca="1" ref="C77" ca="1">INDEX({"S001","S002","S003","S004","S005"}, RANDBETWEEN(1,5))</f>
        <v>S004</v>
      </c>
      <c r="D77" s="5" t="str" cm="1">
        <f t="array" aca="1" ref="D77" ca="1">INDEX({"Mumbai","Delhi","Bangalore","Ahmedabad","Chennai"}, RANDBETWEEN(1,5))</f>
        <v>Chennai</v>
      </c>
      <c r="E77" s="5" t="str" cm="1">
        <f t="array" aca="1" ref="E77" ca="1">INDEX({"Electronics","Groceries","Furniture","Clothing","Stationery"}, RANDBETWEEN(1,5))</f>
        <v>Groceries</v>
      </c>
      <c r="F77" s="5" t="str">
        <f t="shared" ca="1" si="6"/>
        <v>Cooking Oil 1L</v>
      </c>
      <c r="G77" s="8">
        <f t="shared" ca="1" si="7"/>
        <v>78</v>
      </c>
      <c r="H77" s="10">
        <f t="shared" ca="1" si="8"/>
        <v>50</v>
      </c>
      <c r="I77" s="10">
        <f t="shared" ca="1" si="9"/>
        <v>3900</v>
      </c>
      <c r="J77" s="10">
        <f ca="1">Table2[[#This Row],[Unit Price]] * RANDBETWEEN(70,90)/100</f>
        <v>43.5</v>
      </c>
      <c r="K77" s="12">
        <f ca="1">(Table2[[#This Row],[Unit Price]] - Table2[[#This Row],[Cost per Unit]]) * Table2[[#This Row],[Units Sold]]</f>
        <v>507</v>
      </c>
    </row>
    <row r="78" spans="1:11" ht="15.6" x14ac:dyDescent="0.3">
      <c r="A78" s="5" cm="1">
        <f t="array" ref="A78">1000 + ROW(78:78)</f>
        <v>1078</v>
      </c>
      <c r="B78" s="6">
        <f t="shared" ca="1" si="5"/>
        <v>45380</v>
      </c>
      <c r="C78" s="5" t="str" cm="1">
        <f t="array" aca="1" ref="C78" ca="1">INDEX({"S001","S002","S003","S004","S005"}, RANDBETWEEN(1,5))</f>
        <v>S001</v>
      </c>
      <c r="D78" s="5" t="str" cm="1">
        <f t="array" aca="1" ref="D78" ca="1">INDEX({"Mumbai","Delhi","Bangalore","Ahmedabad","Chennai"}, RANDBETWEEN(1,5))</f>
        <v>Ahmedabad</v>
      </c>
      <c r="E78" s="5" t="str" cm="1">
        <f t="array" aca="1" ref="E78" ca="1">INDEX({"Electronics","Groceries","Furniture","Clothing","Stationery"}, RANDBETWEEN(1,5))</f>
        <v>Stationery</v>
      </c>
      <c r="F78" s="5" t="str">
        <f t="shared" ca="1" si="6"/>
        <v>Notebook</v>
      </c>
      <c r="G78" s="8">
        <f t="shared" ca="1" si="7"/>
        <v>13</v>
      </c>
      <c r="H78" s="10">
        <f t="shared" ca="1" si="8"/>
        <v>50</v>
      </c>
      <c r="I78" s="10">
        <f t="shared" ca="1" si="9"/>
        <v>650</v>
      </c>
      <c r="J78" s="10">
        <f ca="1">Table2[[#This Row],[Unit Price]] * RANDBETWEEN(70,90)/100</f>
        <v>35</v>
      </c>
      <c r="K78" s="12">
        <f ca="1">(Table2[[#This Row],[Unit Price]] - Table2[[#This Row],[Cost per Unit]]) * Table2[[#This Row],[Units Sold]]</f>
        <v>195</v>
      </c>
    </row>
    <row r="79" spans="1:11" ht="15.6" x14ac:dyDescent="0.3">
      <c r="A79" s="5" cm="1">
        <f t="array" ref="A79">1000 + ROW(79:79)</f>
        <v>1079</v>
      </c>
      <c r="B79" s="6">
        <f t="shared" ca="1" si="5"/>
        <v>45311</v>
      </c>
      <c r="C79" s="5" t="str" cm="1">
        <f t="array" aca="1" ref="C79" ca="1">INDEX({"S001","S002","S003","S004","S005"}, RANDBETWEEN(1,5))</f>
        <v>S002</v>
      </c>
      <c r="D79" s="5" t="str" cm="1">
        <f t="array" aca="1" ref="D79" ca="1">INDEX({"Mumbai","Delhi","Bangalore","Ahmedabad","Chennai"}, RANDBETWEEN(1,5))</f>
        <v>Delhi</v>
      </c>
      <c r="E79" s="5" t="str" cm="1">
        <f t="array" aca="1" ref="E79" ca="1">INDEX({"Electronics","Groceries","Furniture","Clothing","Stationery"}, RANDBETWEEN(1,5))</f>
        <v>Stationery</v>
      </c>
      <c r="F79" s="5" t="str">
        <f t="shared" ca="1" si="6"/>
        <v>Notebook</v>
      </c>
      <c r="G79" s="8">
        <f t="shared" ca="1" si="7"/>
        <v>85</v>
      </c>
      <c r="H79" s="10">
        <f t="shared" ca="1" si="8"/>
        <v>300</v>
      </c>
      <c r="I79" s="10">
        <f t="shared" ca="1" si="9"/>
        <v>25500</v>
      </c>
      <c r="J79" s="10">
        <f ca="1">Table2[[#This Row],[Unit Price]] * RANDBETWEEN(70,90)/100</f>
        <v>270</v>
      </c>
      <c r="K79" s="12">
        <f ca="1">(Table2[[#This Row],[Unit Price]] - Table2[[#This Row],[Cost per Unit]]) * Table2[[#This Row],[Units Sold]]</f>
        <v>2550</v>
      </c>
    </row>
    <row r="80" spans="1:11" ht="15.6" x14ac:dyDescent="0.3">
      <c r="A80" s="5" cm="1">
        <f t="array" ref="A80">1000 + ROW(80:80)</f>
        <v>1080</v>
      </c>
      <c r="B80" s="6">
        <f t="shared" ca="1" si="5"/>
        <v>45313</v>
      </c>
      <c r="C80" s="5" t="str" cm="1">
        <f t="array" aca="1" ref="C80" ca="1">INDEX({"S001","S002","S003","S004","S005"}, RANDBETWEEN(1,5))</f>
        <v>S001</v>
      </c>
      <c r="D80" s="5" t="str" cm="1">
        <f t="array" aca="1" ref="D80" ca="1">INDEX({"Mumbai","Delhi","Bangalore","Ahmedabad","Chennai"}, RANDBETWEEN(1,5))</f>
        <v>Delhi</v>
      </c>
      <c r="E80" s="5" t="str" cm="1">
        <f t="array" aca="1" ref="E80" ca="1">INDEX({"Electronics","Groceries","Furniture","Clothing","Stationery"}, RANDBETWEEN(1,5))</f>
        <v>Clothing</v>
      </c>
      <c r="F80" s="5" t="str">
        <f t="shared" ca="1" si="6"/>
        <v>Cooking Oil 1L</v>
      </c>
      <c r="G80" s="8">
        <f t="shared" ca="1" si="7"/>
        <v>70</v>
      </c>
      <c r="H80" s="10">
        <f t="shared" ca="1" si="8"/>
        <v>150</v>
      </c>
      <c r="I80" s="10">
        <f t="shared" ca="1" si="9"/>
        <v>10500</v>
      </c>
      <c r="J80" s="10">
        <f ca="1">Table2[[#This Row],[Unit Price]] * RANDBETWEEN(70,90)/100</f>
        <v>132</v>
      </c>
      <c r="K80" s="12">
        <f ca="1">(Table2[[#This Row],[Unit Price]] - Table2[[#This Row],[Cost per Unit]]) * Table2[[#This Row],[Units Sold]]</f>
        <v>1260</v>
      </c>
    </row>
    <row r="81" spans="1:11" ht="15.6" x14ac:dyDescent="0.3">
      <c r="A81" s="5" cm="1">
        <f t="array" ref="A81">1000 + ROW(81:81)</f>
        <v>1081</v>
      </c>
      <c r="B81" s="6">
        <f t="shared" ca="1" si="5"/>
        <v>45296</v>
      </c>
      <c r="C81" s="5" t="str" cm="1">
        <f t="array" aca="1" ref="C81" ca="1">INDEX({"S001","S002","S003","S004","S005"}, RANDBETWEEN(1,5))</f>
        <v>S004</v>
      </c>
      <c r="D81" s="5" t="str" cm="1">
        <f t="array" aca="1" ref="D81" ca="1">INDEX({"Mumbai","Delhi","Bangalore","Ahmedabad","Chennai"}, RANDBETWEEN(1,5))</f>
        <v>Chennai</v>
      </c>
      <c r="E81" s="5" t="str" cm="1">
        <f t="array" aca="1" ref="E81" ca="1">INDEX({"Electronics","Groceries","Furniture","Clothing","Stationery"}, RANDBETWEEN(1,5))</f>
        <v>Electronics</v>
      </c>
      <c r="F81" s="5" t="str">
        <f t="shared" ca="1" si="6"/>
        <v>Shampoo</v>
      </c>
      <c r="G81" s="8">
        <f t="shared" ca="1" si="7"/>
        <v>37</v>
      </c>
      <c r="H81" s="10">
        <f t="shared" ca="1" si="8"/>
        <v>900</v>
      </c>
      <c r="I81" s="10">
        <f t="shared" ca="1" si="9"/>
        <v>33300</v>
      </c>
      <c r="J81" s="10">
        <f ca="1">Table2[[#This Row],[Unit Price]] * RANDBETWEEN(70,90)/100</f>
        <v>783</v>
      </c>
      <c r="K81" s="12">
        <f ca="1">(Table2[[#This Row],[Unit Price]] - Table2[[#This Row],[Cost per Unit]]) * Table2[[#This Row],[Units Sold]]</f>
        <v>4329</v>
      </c>
    </row>
    <row r="82" spans="1:11" ht="15.6" x14ac:dyDescent="0.3">
      <c r="A82" s="5" cm="1">
        <f t="array" ref="A82">1000 + ROW(82:82)</f>
        <v>1082</v>
      </c>
      <c r="B82" s="6">
        <f t="shared" ca="1" si="5"/>
        <v>45294</v>
      </c>
      <c r="C82" s="5" t="str" cm="1">
        <f t="array" aca="1" ref="C82" ca="1">INDEX({"S001","S002","S003","S004","S005"}, RANDBETWEEN(1,5))</f>
        <v>S003</v>
      </c>
      <c r="D82" s="5" t="str" cm="1">
        <f t="array" aca="1" ref="D82" ca="1">INDEX({"Mumbai","Delhi","Bangalore","Ahmedabad","Chennai"}, RANDBETWEEN(1,5))</f>
        <v>Chennai</v>
      </c>
      <c r="E82" s="5" t="str" cm="1">
        <f t="array" aca="1" ref="E82" ca="1">INDEX({"Electronics","Groceries","Furniture","Clothing","Stationery"}, RANDBETWEEN(1,5))</f>
        <v>Electronics</v>
      </c>
      <c r="F82" s="5" t="str">
        <f t="shared" ca="1" si="6"/>
        <v>Shampoo</v>
      </c>
      <c r="G82" s="8">
        <f t="shared" ca="1" si="7"/>
        <v>61</v>
      </c>
      <c r="H82" s="10">
        <f t="shared" ca="1" si="8"/>
        <v>30000</v>
      </c>
      <c r="I82" s="10">
        <f t="shared" ca="1" si="9"/>
        <v>1830000</v>
      </c>
      <c r="J82" s="10">
        <f ca="1">Table2[[#This Row],[Unit Price]] * RANDBETWEEN(70,90)/100</f>
        <v>27000</v>
      </c>
      <c r="K82" s="12">
        <f ca="1">(Table2[[#This Row],[Unit Price]] - Table2[[#This Row],[Cost per Unit]]) * Table2[[#This Row],[Units Sold]]</f>
        <v>183000</v>
      </c>
    </row>
    <row r="83" spans="1:11" ht="15.6" x14ac:dyDescent="0.3">
      <c r="A83" s="5" cm="1">
        <f t="array" ref="A83">1000 + ROW(83:83)</f>
        <v>1083</v>
      </c>
      <c r="B83" s="6">
        <f t="shared" ca="1" si="5"/>
        <v>45360</v>
      </c>
      <c r="C83" s="5" t="str" cm="1">
        <f t="array" aca="1" ref="C83" ca="1">INDEX({"S001","S002","S003","S004","S005"}, RANDBETWEEN(1,5))</f>
        <v>S003</v>
      </c>
      <c r="D83" s="5" t="str" cm="1">
        <f t="array" aca="1" ref="D83" ca="1">INDEX({"Mumbai","Delhi","Bangalore","Ahmedabad","Chennai"}, RANDBETWEEN(1,5))</f>
        <v>Delhi</v>
      </c>
      <c r="E83" s="5" t="str" cm="1">
        <f t="array" aca="1" ref="E83" ca="1">INDEX({"Electronics","Groceries","Furniture","Clothing","Stationery"}, RANDBETWEEN(1,5))</f>
        <v>Stationery</v>
      </c>
      <c r="F83" s="5" t="str">
        <f t="shared" ca="1" si="6"/>
        <v>Laptop</v>
      </c>
      <c r="G83" s="8">
        <f t="shared" ca="1" si="7"/>
        <v>74</v>
      </c>
      <c r="H83" s="10">
        <f t="shared" ca="1" si="8"/>
        <v>500</v>
      </c>
      <c r="I83" s="10">
        <f t="shared" ca="1" si="9"/>
        <v>37000</v>
      </c>
      <c r="J83" s="10">
        <f ca="1">Table2[[#This Row],[Unit Price]] * RANDBETWEEN(70,90)/100</f>
        <v>395</v>
      </c>
      <c r="K83" s="12">
        <f ca="1">(Table2[[#This Row],[Unit Price]] - Table2[[#This Row],[Cost per Unit]]) * Table2[[#This Row],[Units Sold]]</f>
        <v>7770</v>
      </c>
    </row>
    <row r="84" spans="1:11" ht="15.6" x14ac:dyDescent="0.3">
      <c r="A84" s="5" cm="1">
        <f t="array" ref="A84">1000 + ROW(84:84)</f>
        <v>1084</v>
      </c>
      <c r="B84" s="6">
        <f t="shared" ca="1" si="5"/>
        <v>45343</v>
      </c>
      <c r="C84" s="5" t="str" cm="1">
        <f t="array" aca="1" ref="C84" ca="1">INDEX({"S001","S002","S003","S004","S005"}, RANDBETWEEN(1,5))</f>
        <v>S004</v>
      </c>
      <c r="D84" s="5" t="str" cm="1">
        <f t="array" aca="1" ref="D84" ca="1">INDEX({"Mumbai","Delhi","Bangalore","Ahmedabad","Chennai"}, RANDBETWEEN(1,5))</f>
        <v>Ahmedabad</v>
      </c>
      <c r="E84" s="5" t="str" cm="1">
        <f t="array" aca="1" ref="E84" ca="1">INDEX({"Electronics","Groceries","Furniture","Clothing","Stationery"}, RANDBETWEEN(1,5))</f>
        <v>Clothing</v>
      </c>
      <c r="F84" s="5" t="str">
        <f t="shared" ca="1" si="6"/>
        <v>Office Chair</v>
      </c>
      <c r="G84" s="8">
        <f t="shared" ca="1" si="7"/>
        <v>69</v>
      </c>
      <c r="H84" s="10">
        <f t="shared" ca="1" si="8"/>
        <v>250</v>
      </c>
      <c r="I84" s="10">
        <f t="shared" ca="1" si="9"/>
        <v>17250</v>
      </c>
      <c r="J84" s="10">
        <f ca="1">Table2[[#This Row],[Unit Price]] * RANDBETWEEN(70,90)/100</f>
        <v>180</v>
      </c>
      <c r="K84" s="12">
        <f ca="1">(Table2[[#This Row],[Unit Price]] - Table2[[#This Row],[Cost per Unit]]) * Table2[[#This Row],[Units Sold]]</f>
        <v>4830</v>
      </c>
    </row>
    <row r="85" spans="1:11" ht="15.6" x14ac:dyDescent="0.3">
      <c r="A85" s="5" cm="1">
        <f t="array" ref="A85">1000 + ROW(85:85)</f>
        <v>1085</v>
      </c>
      <c r="B85" s="6">
        <f t="shared" ca="1" si="5"/>
        <v>45348</v>
      </c>
      <c r="C85" s="5" t="str" cm="1">
        <f t="array" aca="1" ref="C85" ca="1">INDEX({"S001","S002","S003","S004","S005"}, RANDBETWEEN(1,5))</f>
        <v>S005</v>
      </c>
      <c r="D85" s="5" t="str" cm="1">
        <f t="array" aca="1" ref="D85" ca="1">INDEX({"Mumbai","Delhi","Bangalore","Ahmedabad","Chennai"}, RANDBETWEEN(1,5))</f>
        <v>Ahmedabad</v>
      </c>
      <c r="E85" s="5" t="str" cm="1">
        <f t="array" aca="1" ref="E85" ca="1">INDEX({"Electronics","Groceries","Furniture","Clothing","Stationery"}, RANDBETWEEN(1,5))</f>
        <v>Furniture</v>
      </c>
      <c r="F85" s="5" t="str">
        <f t="shared" ca="1" si="6"/>
        <v>Office Chair</v>
      </c>
      <c r="G85" s="8">
        <f t="shared" ca="1" si="7"/>
        <v>100</v>
      </c>
      <c r="H85" s="10">
        <f t="shared" ca="1" si="8"/>
        <v>15000</v>
      </c>
      <c r="I85" s="10">
        <f t="shared" ca="1" si="9"/>
        <v>1500000</v>
      </c>
      <c r="J85" s="10">
        <f ca="1">Table2[[#This Row],[Unit Price]] * RANDBETWEEN(70,90)/100</f>
        <v>12000</v>
      </c>
      <c r="K85" s="12">
        <f ca="1">(Table2[[#This Row],[Unit Price]] - Table2[[#This Row],[Cost per Unit]]) * Table2[[#This Row],[Units Sold]]</f>
        <v>300000</v>
      </c>
    </row>
    <row r="86" spans="1:11" ht="15.6" x14ac:dyDescent="0.3">
      <c r="A86" s="5" cm="1">
        <f t="array" ref="A86">1000 + ROW(86:86)</f>
        <v>1086</v>
      </c>
      <c r="B86" s="6">
        <f t="shared" ca="1" si="5"/>
        <v>45312</v>
      </c>
      <c r="C86" s="5" t="str" cm="1">
        <f t="array" aca="1" ref="C86" ca="1">INDEX({"S001","S002","S003","S004","S005"}, RANDBETWEEN(1,5))</f>
        <v>S004</v>
      </c>
      <c r="D86" s="5" t="str" cm="1">
        <f t="array" aca="1" ref="D86" ca="1">INDEX({"Mumbai","Delhi","Bangalore","Ahmedabad","Chennai"}, RANDBETWEEN(1,5))</f>
        <v>Mumbai</v>
      </c>
      <c r="E86" s="5" t="str" cm="1">
        <f t="array" aca="1" ref="E86" ca="1">INDEX({"Electronics","Groceries","Furniture","Clothing","Stationery"}, RANDBETWEEN(1,5))</f>
        <v>Groceries</v>
      </c>
      <c r="F86" s="5" t="str">
        <f t="shared" ca="1" si="6"/>
        <v>Shampoo</v>
      </c>
      <c r="G86" s="8">
        <f t="shared" ca="1" si="7"/>
        <v>8</v>
      </c>
      <c r="H86" s="10">
        <f t="shared" ca="1" si="8"/>
        <v>1200</v>
      </c>
      <c r="I86" s="10">
        <f t="shared" ca="1" si="9"/>
        <v>9600</v>
      </c>
      <c r="J86" s="10">
        <f ca="1">Table2[[#This Row],[Unit Price]] * RANDBETWEEN(70,90)/100</f>
        <v>1044</v>
      </c>
      <c r="K86" s="12">
        <f ca="1">(Table2[[#This Row],[Unit Price]] - Table2[[#This Row],[Cost per Unit]]) * Table2[[#This Row],[Units Sold]]</f>
        <v>1248</v>
      </c>
    </row>
    <row r="87" spans="1:11" ht="15.6" x14ac:dyDescent="0.3">
      <c r="A87" s="5" cm="1">
        <f t="array" ref="A87">1000 + ROW(87:87)</f>
        <v>1087</v>
      </c>
      <c r="B87" s="6">
        <f t="shared" ca="1" si="5"/>
        <v>45351</v>
      </c>
      <c r="C87" s="5" t="str" cm="1">
        <f t="array" aca="1" ref="C87" ca="1">INDEX({"S001","S002","S003","S004","S005"}, RANDBETWEEN(1,5))</f>
        <v>S003</v>
      </c>
      <c r="D87" s="5" t="str" cm="1">
        <f t="array" aca="1" ref="D87" ca="1">INDEX({"Mumbai","Delhi","Bangalore","Ahmedabad","Chennai"}, RANDBETWEEN(1,5))</f>
        <v>Delhi</v>
      </c>
      <c r="E87" s="5" t="str" cm="1">
        <f t="array" aca="1" ref="E87" ca="1">INDEX({"Electronics","Groceries","Furniture","Clothing","Stationery"}, RANDBETWEEN(1,5))</f>
        <v>Groceries</v>
      </c>
      <c r="F87" s="5" t="str">
        <f t="shared" ca="1" si="6"/>
        <v>Table</v>
      </c>
      <c r="G87" s="8">
        <f t="shared" ca="1" si="7"/>
        <v>64</v>
      </c>
      <c r="H87" s="10">
        <f t="shared" ca="1" si="8"/>
        <v>500</v>
      </c>
      <c r="I87" s="10">
        <f t="shared" ca="1" si="9"/>
        <v>32000</v>
      </c>
      <c r="J87" s="10">
        <f ca="1">Table2[[#This Row],[Unit Price]] * RANDBETWEEN(70,90)/100</f>
        <v>380</v>
      </c>
      <c r="K87" s="12">
        <f ca="1">(Table2[[#This Row],[Unit Price]] - Table2[[#This Row],[Cost per Unit]]) * Table2[[#This Row],[Units Sold]]</f>
        <v>7680</v>
      </c>
    </row>
    <row r="88" spans="1:11" ht="15.6" x14ac:dyDescent="0.3">
      <c r="A88" s="5" cm="1">
        <f t="array" ref="A88">1000 + ROW(88:88)</f>
        <v>1088</v>
      </c>
      <c r="B88" s="6">
        <f t="shared" ca="1" si="5"/>
        <v>45359</v>
      </c>
      <c r="C88" s="5" t="str" cm="1">
        <f t="array" aca="1" ref="C88" ca="1">INDEX({"S001","S002","S003","S004","S005"}, RANDBETWEEN(1,5))</f>
        <v>S002</v>
      </c>
      <c r="D88" s="5" t="str" cm="1">
        <f t="array" aca="1" ref="D88" ca="1">INDEX({"Mumbai","Delhi","Bangalore","Ahmedabad","Chennai"}, RANDBETWEEN(1,5))</f>
        <v>Ahmedabad</v>
      </c>
      <c r="E88" s="5" t="str" cm="1">
        <f t="array" aca="1" ref="E88" ca="1">INDEX({"Electronics","Groceries","Furniture","Clothing","Stationery"}, RANDBETWEEN(1,5))</f>
        <v>Groceries</v>
      </c>
      <c r="F88" s="5" t="str">
        <f t="shared" ca="1" si="6"/>
        <v>Smartphone</v>
      </c>
      <c r="G88" s="8">
        <f t="shared" ca="1" si="7"/>
        <v>40</v>
      </c>
      <c r="H88" s="10">
        <f t="shared" ca="1" si="8"/>
        <v>300</v>
      </c>
      <c r="I88" s="10">
        <f t="shared" ca="1" si="9"/>
        <v>12000</v>
      </c>
      <c r="J88" s="10">
        <f ca="1">Table2[[#This Row],[Unit Price]] * RANDBETWEEN(70,90)/100</f>
        <v>249</v>
      </c>
      <c r="K88" s="12">
        <f ca="1">(Table2[[#This Row],[Unit Price]] - Table2[[#This Row],[Cost per Unit]]) * Table2[[#This Row],[Units Sold]]</f>
        <v>2040</v>
      </c>
    </row>
    <row r="89" spans="1:11" ht="15.6" x14ac:dyDescent="0.3">
      <c r="A89" s="5" cm="1">
        <f t="array" ref="A89">1000 + ROW(89:89)</f>
        <v>1089</v>
      </c>
      <c r="B89" s="6">
        <f t="shared" ca="1" si="5"/>
        <v>45296</v>
      </c>
      <c r="C89" s="5" t="str" cm="1">
        <f t="array" aca="1" ref="C89" ca="1">INDEX({"S001","S002","S003","S004","S005"}, RANDBETWEEN(1,5))</f>
        <v>S004</v>
      </c>
      <c r="D89" s="5" t="str" cm="1">
        <f t="array" aca="1" ref="D89" ca="1">INDEX({"Mumbai","Delhi","Bangalore","Ahmedabad","Chennai"}, RANDBETWEEN(1,5))</f>
        <v>Mumbai</v>
      </c>
      <c r="E89" s="5" t="str" cm="1">
        <f t="array" aca="1" ref="E89" ca="1">INDEX({"Electronics","Groceries","Furniture","Clothing","Stationery"}, RANDBETWEEN(1,5))</f>
        <v>Groceries</v>
      </c>
      <c r="F89" s="5" t="str">
        <f t="shared" ca="1" si="6"/>
        <v>Rice 5kg</v>
      </c>
      <c r="G89" s="8">
        <f t="shared" ca="1" si="7"/>
        <v>57</v>
      </c>
      <c r="H89" s="10">
        <f t="shared" ca="1" si="8"/>
        <v>15000</v>
      </c>
      <c r="I89" s="10">
        <f t="shared" ca="1" si="9"/>
        <v>855000</v>
      </c>
      <c r="J89" s="10">
        <f ca="1">Table2[[#This Row],[Unit Price]] * RANDBETWEEN(70,90)/100</f>
        <v>13350</v>
      </c>
      <c r="K89" s="12">
        <f ca="1">(Table2[[#This Row],[Unit Price]] - Table2[[#This Row],[Cost per Unit]]) * Table2[[#This Row],[Units Sold]]</f>
        <v>94050</v>
      </c>
    </row>
    <row r="90" spans="1:11" ht="15.6" x14ac:dyDescent="0.3">
      <c r="A90" s="5" cm="1">
        <f t="array" ref="A90">1000 + ROW(90:90)</f>
        <v>1090</v>
      </c>
      <c r="B90" s="6">
        <f t="shared" ca="1" si="5"/>
        <v>45315</v>
      </c>
      <c r="C90" s="5" t="str" cm="1">
        <f t="array" aca="1" ref="C90" ca="1">INDEX({"S001","S002","S003","S004","S005"}, RANDBETWEEN(1,5))</f>
        <v>S002</v>
      </c>
      <c r="D90" s="5" t="str" cm="1">
        <f t="array" aca="1" ref="D90" ca="1">INDEX({"Mumbai","Delhi","Bangalore","Ahmedabad","Chennai"}, RANDBETWEEN(1,5))</f>
        <v>Delhi</v>
      </c>
      <c r="E90" s="5" t="str" cm="1">
        <f t="array" aca="1" ref="E90" ca="1">INDEX({"Electronics","Groceries","Furniture","Clothing","Stationery"}, RANDBETWEEN(1,5))</f>
        <v>Stationery</v>
      </c>
      <c r="F90" s="5" t="str">
        <f t="shared" ca="1" si="6"/>
        <v>Smartphone</v>
      </c>
      <c r="G90" s="8">
        <f t="shared" ca="1" si="7"/>
        <v>6</v>
      </c>
      <c r="H90" s="10">
        <f t="shared" ca="1" si="8"/>
        <v>900</v>
      </c>
      <c r="I90" s="10">
        <f t="shared" ca="1" si="9"/>
        <v>5400</v>
      </c>
      <c r="J90" s="10">
        <f ca="1">Table2[[#This Row],[Unit Price]] * RANDBETWEEN(70,90)/100</f>
        <v>648</v>
      </c>
      <c r="K90" s="12">
        <f ca="1">(Table2[[#This Row],[Unit Price]] - Table2[[#This Row],[Cost per Unit]]) * Table2[[#This Row],[Units Sold]]</f>
        <v>1512</v>
      </c>
    </row>
    <row r="91" spans="1:11" ht="15.6" x14ac:dyDescent="0.3">
      <c r="A91" s="5" cm="1">
        <f t="array" ref="A91">1000 + ROW(91:91)</f>
        <v>1091</v>
      </c>
      <c r="B91" s="6">
        <f t="shared" ca="1" si="5"/>
        <v>45321</v>
      </c>
      <c r="C91" s="5" t="str" cm="1">
        <f t="array" aca="1" ref="C91" ca="1">INDEX({"S001","S002","S003","S004","S005"}, RANDBETWEEN(1,5))</f>
        <v>S005</v>
      </c>
      <c r="D91" s="5" t="str" cm="1">
        <f t="array" aca="1" ref="D91" ca="1">INDEX({"Mumbai","Delhi","Bangalore","Ahmedabad","Chennai"}, RANDBETWEEN(1,5))</f>
        <v>Delhi</v>
      </c>
      <c r="E91" s="5" t="str" cm="1">
        <f t="array" aca="1" ref="E91" ca="1">INDEX({"Electronics","Groceries","Furniture","Clothing","Stationery"}, RANDBETWEEN(1,5))</f>
        <v>Clothing</v>
      </c>
      <c r="F91" s="5" t="str">
        <f t="shared" ca="1" si="6"/>
        <v>Notebook</v>
      </c>
      <c r="G91" s="8">
        <f t="shared" ca="1" si="7"/>
        <v>11</v>
      </c>
      <c r="H91" s="10">
        <f t="shared" ca="1" si="8"/>
        <v>900</v>
      </c>
      <c r="I91" s="10">
        <f t="shared" ca="1" si="9"/>
        <v>9900</v>
      </c>
      <c r="J91" s="10">
        <f ca="1">Table2[[#This Row],[Unit Price]] * RANDBETWEEN(70,90)/100</f>
        <v>792</v>
      </c>
      <c r="K91" s="12">
        <f ca="1">(Table2[[#This Row],[Unit Price]] - Table2[[#This Row],[Cost per Unit]]) * Table2[[#This Row],[Units Sold]]</f>
        <v>1188</v>
      </c>
    </row>
    <row r="92" spans="1:11" ht="15.6" x14ac:dyDescent="0.3">
      <c r="A92" s="5" cm="1">
        <f t="array" ref="A92">1000 + ROW(92:92)</f>
        <v>1092</v>
      </c>
      <c r="B92" s="6">
        <f t="shared" ca="1" si="5"/>
        <v>45364</v>
      </c>
      <c r="C92" s="5" t="str" cm="1">
        <f t="array" aca="1" ref="C92" ca="1">INDEX({"S001","S002","S003","S004","S005"}, RANDBETWEEN(1,5))</f>
        <v>S004</v>
      </c>
      <c r="D92" s="5" t="str" cm="1">
        <f t="array" aca="1" ref="D92" ca="1">INDEX({"Mumbai","Delhi","Bangalore","Ahmedabad","Chennai"}, RANDBETWEEN(1,5))</f>
        <v>Delhi</v>
      </c>
      <c r="E92" s="5" t="str" cm="1">
        <f t="array" aca="1" ref="E92" ca="1">INDEX({"Electronics","Groceries","Furniture","Clothing","Stationery"}, RANDBETWEEN(1,5))</f>
        <v>Electronics</v>
      </c>
      <c r="F92" s="5" t="str">
        <f t="shared" ca="1" si="6"/>
        <v>Desk Lamp</v>
      </c>
      <c r="G92" s="8">
        <f t="shared" ca="1" si="7"/>
        <v>98</v>
      </c>
      <c r="H92" s="10">
        <f t="shared" ca="1" si="8"/>
        <v>700</v>
      </c>
      <c r="I92" s="10">
        <f t="shared" ca="1" si="9"/>
        <v>68600</v>
      </c>
      <c r="J92" s="10">
        <f ca="1">Table2[[#This Row],[Unit Price]] * RANDBETWEEN(70,90)/100</f>
        <v>490</v>
      </c>
      <c r="K92" s="12">
        <f ca="1">(Table2[[#This Row],[Unit Price]] - Table2[[#This Row],[Cost per Unit]]) * Table2[[#This Row],[Units Sold]]</f>
        <v>20580</v>
      </c>
    </row>
    <row r="93" spans="1:11" ht="15.6" x14ac:dyDescent="0.3">
      <c r="A93" s="5" cm="1">
        <f t="array" ref="A93">1000 + ROW(93:93)</f>
        <v>1093</v>
      </c>
      <c r="B93" s="6">
        <f t="shared" ca="1" si="5"/>
        <v>45350</v>
      </c>
      <c r="C93" s="5" t="str" cm="1">
        <f t="array" aca="1" ref="C93" ca="1">INDEX({"S001","S002","S003","S004","S005"}, RANDBETWEEN(1,5))</f>
        <v>S004</v>
      </c>
      <c r="D93" s="5" t="str" cm="1">
        <f t="array" aca="1" ref="D93" ca="1">INDEX({"Mumbai","Delhi","Bangalore","Ahmedabad","Chennai"}, RANDBETWEEN(1,5))</f>
        <v>Chennai</v>
      </c>
      <c r="E93" s="5" t="str" cm="1">
        <f t="array" aca="1" ref="E93" ca="1">INDEX({"Electronics","Groceries","Furniture","Clothing","Stationery"}, RANDBETWEEN(1,5))</f>
        <v>Groceries</v>
      </c>
      <c r="F93" s="5" t="str">
        <f t="shared" ca="1" si="6"/>
        <v>T-shirt</v>
      </c>
      <c r="G93" s="8">
        <f t="shared" ca="1" si="7"/>
        <v>58</v>
      </c>
      <c r="H93" s="10">
        <f t="shared" ca="1" si="8"/>
        <v>300</v>
      </c>
      <c r="I93" s="10">
        <f t="shared" ca="1" si="9"/>
        <v>17400</v>
      </c>
      <c r="J93" s="10">
        <f ca="1">Table2[[#This Row],[Unit Price]] * RANDBETWEEN(70,90)/100</f>
        <v>219</v>
      </c>
      <c r="K93" s="12">
        <f ca="1">(Table2[[#This Row],[Unit Price]] - Table2[[#This Row],[Cost per Unit]]) * Table2[[#This Row],[Units Sold]]</f>
        <v>4698</v>
      </c>
    </row>
    <row r="94" spans="1:11" ht="15.6" x14ac:dyDescent="0.3">
      <c r="A94" s="5" cm="1">
        <f t="array" ref="A94">1000 + ROW(94:94)</f>
        <v>1094</v>
      </c>
      <c r="B94" s="6">
        <f t="shared" ca="1" si="5"/>
        <v>45379</v>
      </c>
      <c r="C94" s="5" t="str" cm="1">
        <f t="array" aca="1" ref="C94" ca="1">INDEX({"S001","S002","S003","S004","S005"}, RANDBETWEEN(1,5))</f>
        <v>S001</v>
      </c>
      <c r="D94" s="5" t="str" cm="1">
        <f t="array" aca="1" ref="D94" ca="1">INDEX({"Mumbai","Delhi","Bangalore","Ahmedabad","Chennai"}, RANDBETWEEN(1,5))</f>
        <v>Mumbai</v>
      </c>
      <c r="E94" s="5" t="str" cm="1">
        <f t="array" aca="1" ref="E94" ca="1">INDEX({"Electronics","Groceries","Furniture","Clothing","Stationery"}, RANDBETWEEN(1,5))</f>
        <v>Groceries</v>
      </c>
      <c r="F94" s="5" t="str">
        <f t="shared" ca="1" si="6"/>
        <v>Desk Lamp</v>
      </c>
      <c r="G94" s="8">
        <f t="shared" ca="1" si="7"/>
        <v>12</v>
      </c>
      <c r="H94" s="10">
        <f t="shared" ca="1" si="8"/>
        <v>250</v>
      </c>
      <c r="I94" s="10">
        <f t="shared" ca="1" si="9"/>
        <v>3000</v>
      </c>
      <c r="J94" s="10">
        <f ca="1">Table2[[#This Row],[Unit Price]] * RANDBETWEEN(70,90)/100</f>
        <v>205</v>
      </c>
      <c r="K94" s="12">
        <f ca="1">(Table2[[#This Row],[Unit Price]] - Table2[[#This Row],[Cost per Unit]]) * Table2[[#This Row],[Units Sold]]</f>
        <v>540</v>
      </c>
    </row>
    <row r="95" spans="1:11" ht="15.6" x14ac:dyDescent="0.3">
      <c r="A95" s="5" cm="1">
        <f t="array" ref="A95">1000 + ROW(95:95)</f>
        <v>1095</v>
      </c>
      <c r="B95" s="6">
        <f t="shared" ca="1" si="5"/>
        <v>45323</v>
      </c>
      <c r="C95" s="5" t="str" cm="1">
        <f t="array" aca="1" ref="C95" ca="1">INDEX({"S001","S002","S003","S004","S005"}, RANDBETWEEN(1,5))</f>
        <v>S005</v>
      </c>
      <c r="D95" s="5" t="str" cm="1">
        <f t="array" aca="1" ref="D95" ca="1">INDEX({"Mumbai","Delhi","Bangalore","Ahmedabad","Chennai"}, RANDBETWEEN(1,5))</f>
        <v>Delhi</v>
      </c>
      <c r="E95" s="5" t="str" cm="1">
        <f t="array" aca="1" ref="E95" ca="1">INDEX({"Electronics","Groceries","Furniture","Clothing","Stationery"}, RANDBETWEEN(1,5))</f>
        <v>Clothing</v>
      </c>
      <c r="F95" s="5" t="str">
        <f t="shared" ca="1" si="6"/>
        <v>Rice 5kg</v>
      </c>
      <c r="G95" s="8">
        <f t="shared" ca="1" si="7"/>
        <v>44</v>
      </c>
      <c r="H95" s="10">
        <f t="shared" ca="1" si="8"/>
        <v>150</v>
      </c>
      <c r="I95" s="10">
        <f t="shared" ca="1" si="9"/>
        <v>6600</v>
      </c>
      <c r="J95" s="10">
        <f ca="1">Table2[[#This Row],[Unit Price]] * RANDBETWEEN(70,90)/100</f>
        <v>132</v>
      </c>
      <c r="K95" s="12">
        <f ca="1">(Table2[[#This Row],[Unit Price]] - Table2[[#This Row],[Cost per Unit]]) * Table2[[#This Row],[Units Sold]]</f>
        <v>792</v>
      </c>
    </row>
    <row r="96" spans="1:11" ht="15.6" x14ac:dyDescent="0.3">
      <c r="A96" s="5" cm="1">
        <f t="array" ref="A96">1000 + ROW(96:96)</f>
        <v>1096</v>
      </c>
      <c r="B96" s="6">
        <f t="shared" ca="1" si="5"/>
        <v>45326</v>
      </c>
      <c r="C96" s="5" t="str" cm="1">
        <f t="array" aca="1" ref="C96" ca="1">INDEX({"S001","S002","S003","S004","S005"}, RANDBETWEEN(1,5))</f>
        <v>S004</v>
      </c>
      <c r="D96" s="5" t="str" cm="1">
        <f t="array" aca="1" ref="D96" ca="1">INDEX({"Mumbai","Delhi","Bangalore","Ahmedabad","Chennai"}, RANDBETWEEN(1,5))</f>
        <v>Chennai</v>
      </c>
      <c r="E96" s="5" t="str" cm="1">
        <f t="array" aca="1" ref="E96" ca="1">INDEX({"Electronics","Groceries","Furniture","Clothing","Stationery"}, RANDBETWEEN(1,5))</f>
        <v>Electronics</v>
      </c>
      <c r="F96" s="5" t="str">
        <f t="shared" ca="1" si="6"/>
        <v>Rice 5kg</v>
      </c>
      <c r="G96" s="8">
        <f t="shared" ca="1" si="7"/>
        <v>77</v>
      </c>
      <c r="H96" s="10">
        <f t="shared" ca="1" si="8"/>
        <v>900</v>
      </c>
      <c r="I96" s="10">
        <f t="shared" ca="1" si="9"/>
        <v>69300</v>
      </c>
      <c r="J96" s="10">
        <f ca="1">Table2[[#This Row],[Unit Price]] * RANDBETWEEN(70,90)/100</f>
        <v>783</v>
      </c>
      <c r="K96" s="12">
        <f ca="1">(Table2[[#This Row],[Unit Price]] - Table2[[#This Row],[Cost per Unit]]) * Table2[[#This Row],[Units Sold]]</f>
        <v>9009</v>
      </c>
    </row>
    <row r="97" spans="1:11" ht="15.6" x14ac:dyDescent="0.3">
      <c r="A97" s="5" cm="1">
        <f t="array" ref="A97">1000 + ROW(97:97)</f>
        <v>1097</v>
      </c>
      <c r="B97" s="6">
        <f t="shared" ca="1" si="5"/>
        <v>45318</v>
      </c>
      <c r="C97" s="5" t="str" cm="1">
        <f t="array" aca="1" ref="C97" ca="1">INDEX({"S001","S002","S003","S004","S005"}, RANDBETWEEN(1,5))</f>
        <v>S004</v>
      </c>
      <c r="D97" s="5" t="str" cm="1">
        <f t="array" aca="1" ref="D97" ca="1">INDEX({"Mumbai","Delhi","Bangalore","Ahmedabad","Chennai"}, RANDBETWEEN(1,5))</f>
        <v>Mumbai</v>
      </c>
      <c r="E97" s="5" t="str" cm="1">
        <f t="array" aca="1" ref="E97" ca="1">INDEX({"Electronics","Groceries","Furniture","Clothing","Stationery"}, RANDBETWEEN(1,5))</f>
        <v>Stationery</v>
      </c>
      <c r="F97" s="5" t="str">
        <f t="shared" ca="1" si="6"/>
        <v>Notebook</v>
      </c>
      <c r="G97" s="8">
        <f t="shared" ca="1" si="7"/>
        <v>62</v>
      </c>
      <c r="H97" s="10">
        <f t="shared" ca="1" si="8"/>
        <v>15000</v>
      </c>
      <c r="I97" s="10">
        <f t="shared" ca="1" si="9"/>
        <v>930000</v>
      </c>
      <c r="J97" s="10">
        <f ca="1">Table2[[#This Row],[Unit Price]] * RANDBETWEEN(70,90)/100</f>
        <v>12300</v>
      </c>
      <c r="K97" s="12">
        <f ca="1">(Table2[[#This Row],[Unit Price]] - Table2[[#This Row],[Cost per Unit]]) * Table2[[#This Row],[Units Sold]]</f>
        <v>167400</v>
      </c>
    </row>
    <row r="98" spans="1:11" ht="15.6" x14ac:dyDescent="0.3">
      <c r="A98" s="5" cm="1">
        <f t="array" ref="A98">1000 + ROW(98:98)</f>
        <v>1098</v>
      </c>
      <c r="B98" s="6">
        <f t="shared" ca="1" si="5"/>
        <v>45314</v>
      </c>
      <c r="C98" s="5" t="str" cm="1">
        <f t="array" aca="1" ref="C98" ca="1">INDEX({"S001","S002","S003","S004","S005"}, RANDBETWEEN(1,5))</f>
        <v>S001</v>
      </c>
      <c r="D98" s="5" t="str" cm="1">
        <f t="array" aca="1" ref="D98" ca="1">INDEX({"Mumbai","Delhi","Bangalore","Ahmedabad","Chennai"}, RANDBETWEEN(1,5))</f>
        <v>Chennai</v>
      </c>
      <c r="E98" s="5" t="str" cm="1">
        <f t="array" aca="1" ref="E98" ca="1">INDEX({"Electronics","Groceries","Furniture","Clothing","Stationery"}, RANDBETWEEN(1,5))</f>
        <v>Clothing</v>
      </c>
      <c r="F98" s="5" t="str">
        <f t="shared" ca="1" si="6"/>
        <v>Cooking Oil 1L</v>
      </c>
      <c r="G98" s="8">
        <f t="shared" ca="1" si="7"/>
        <v>84</v>
      </c>
      <c r="H98" s="10">
        <f t="shared" ca="1" si="8"/>
        <v>150</v>
      </c>
      <c r="I98" s="10">
        <f t="shared" ca="1" si="9"/>
        <v>12600</v>
      </c>
      <c r="J98" s="10">
        <f ca="1">Table2[[#This Row],[Unit Price]] * RANDBETWEEN(70,90)/100</f>
        <v>124.5</v>
      </c>
      <c r="K98" s="12">
        <f ca="1">(Table2[[#This Row],[Unit Price]] - Table2[[#This Row],[Cost per Unit]]) * Table2[[#This Row],[Units Sold]]</f>
        <v>2142</v>
      </c>
    </row>
    <row r="99" spans="1:11" ht="15.6" x14ac:dyDescent="0.3">
      <c r="A99" s="5" cm="1">
        <f t="array" ref="A99">1000 + ROW(99:99)</f>
        <v>1099</v>
      </c>
      <c r="B99" s="6">
        <f t="shared" ca="1" si="5"/>
        <v>45363</v>
      </c>
      <c r="C99" s="5" t="str" cm="1">
        <f t="array" aca="1" ref="C99" ca="1">INDEX({"S001","S002","S003","S004","S005"}, RANDBETWEEN(1,5))</f>
        <v>S005</v>
      </c>
      <c r="D99" s="5" t="str" cm="1">
        <f t="array" aca="1" ref="D99" ca="1">INDEX({"Mumbai","Delhi","Bangalore","Ahmedabad","Chennai"}, RANDBETWEEN(1,5))</f>
        <v>Delhi</v>
      </c>
      <c r="E99" s="5" t="str" cm="1">
        <f t="array" aca="1" ref="E99" ca="1">INDEX({"Electronics","Groceries","Furniture","Clothing","Stationery"}, RANDBETWEEN(1,5))</f>
        <v>Stationery</v>
      </c>
      <c r="F99" s="5" t="str">
        <f t="shared" ca="1" si="6"/>
        <v>Cooking Oil 1L</v>
      </c>
      <c r="G99" s="8">
        <f t="shared" ca="1" si="7"/>
        <v>15</v>
      </c>
      <c r="H99" s="10">
        <f t="shared" ca="1" si="8"/>
        <v>30000</v>
      </c>
      <c r="I99" s="10">
        <f t="shared" ca="1" si="9"/>
        <v>450000</v>
      </c>
      <c r="J99" s="10">
        <f ca="1">Table2[[#This Row],[Unit Price]] * RANDBETWEEN(70,90)/100</f>
        <v>27000</v>
      </c>
      <c r="K99" s="12">
        <f ca="1">(Table2[[#This Row],[Unit Price]] - Table2[[#This Row],[Cost per Unit]]) * Table2[[#This Row],[Units Sold]]</f>
        <v>45000</v>
      </c>
    </row>
    <row r="100" spans="1:11" ht="15.6" x14ac:dyDescent="0.3">
      <c r="A100" s="5" cm="1">
        <f t="array" ref="A100">1000 + ROW(100:100)</f>
        <v>1100</v>
      </c>
      <c r="B100" s="6">
        <f t="shared" ca="1" si="5"/>
        <v>45356</v>
      </c>
      <c r="C100" s="5" t="str" cm="1">
        <f t="array" aca="1" ref="C100" ca="1">INDEX({"S001","S002","S003","S004","S005"}, RANDBETWEEN(1,5))</f>
        <v>S004</v>
      </c>
      <c r="D100" s="5" t="str" cm="1">
        <f t="array" aca="1" ref="D100" ca="1">INDEX({"Mumbai","Delhi","Bangalore","Ahmedabad","Chennai"}, RANDBETWEEN(1,5))</f>
        <v>Ahmedabad</v>
      </c>
      <c r="E100" s="5" t="str" cm="1">
        <f t="array" aca="1" ref="E100" ca="1">INDEX({"Electronics","Groceries","Furniture","Clothing","Stationery"}, RANDBETWEEN(1,5))</f>
        <v>Stationery</v>
      </c>
      <c r="F100" s="5" t="str">
        <f t="shared" ca="1" si="6"/>
        <v>Cooking Oil 1L</v>
      </c>
      <c r="G100" s="8">
        <f t="shared" ca="1" si="7"/>
        <v>73</v>
      </c>
      <c r="H100" s="10">
        <f t="shared" ca="1" si="8"/>
        <v>500</v>
      </c>
      <c r="I100" s="10">
        <f t="shared" ca="1" si="9"/>
        <v>36500</v>
      </c>
      <c r="J100" s="10">
        <f ca="1">Table2[[#This Row],[Unit Price]] * RANDBETWEEN(70,90)/100</f>
        <v>405</v>
      </c>
      <c r="K100" s="12">
        <f ca="1">(Table2[[#This Row],[Unit Price]] - Table2[[#This Row],[Cost per Unit]]) * Table2[[#This Row],[Units Sold]]</f>
        <v>6935</v>
      </c>
    </row>
    <row r="101" spans="1:11" ht="15.6" x14ac:dyDescent="0.3">
      <c r="A101" s="5" cm="1">
        <f t="array" ref="A101">1000 + ROW(101:101)</f>
        <v>1101</v>
      </c>
      <c r="B101" s="6">
        <f t="shared" ca="1" si="5"/>
        <v>45378</v>
      </c>
      <c r="C101" s="5" t="str" cm="1">
        <f t="array" aca="1" ref="C101" ca="1">INDEX({"S001","S002","S003","S004","S005"}, RANDBETWEEN(1,5))</f>
        <v>S003</v>
      </c>
      <c r="D101" s="5" t="str" cm="1">
        <f t="array" aca="1" ref="D101" ca="1">INDEX({"Mumbai","Delhi","Bangalore","Ahmedabad","Chennai"}, RANDBETWEEN(1,5))</f>
        <v>Ahmedabad</v>
      </c>
      <c r="E101" s="5" t="str" cm="1">
        <f t="array" aca="1" ref="E101" ca="1">INDEX({"Electronics","Groceries","Furniture","Clothing","Stationery"}, RANDBETWEEN(1,5))</f>
        <v>Clothing</v>
      </c>
      <c r="F101" s="5" t="str">
        <f t="shared" ca="1" si="6"/>
        <v>Table</v>
      </c>
      <c r="G101" s="8">
        <f t="shared" ca="1" si="7"/>
        <v>7</v>
      </c>
      <c r="H101" s="10">
        <f t="shared" ca="1" si="8"/>
        <v>250</v>
      </c>
      <c r="I101" s="10">
        <f t="shared" ca="1" si="9"/>
        <v>1750</v>
      </c>
      <c r="J101" s="10">
        <f ca="1">Table2[[#This Row],[Unit Price]] * RANDBETWEEN(70,90)/100</f>
        <v>220</v>
      </c>
      <c r="K101" s="12">
        <f ca="1">(Table2[[#This Row],[Unit Price]] - Table2[[#This Row],[Cost per Unit]]) * Table2[[#This Row],[Units Sold]]</f>
        <v>210</v>
      </c>
    </row>
    <row r="102" spans="1:11" ht="15.6" x14ac:dyDescent="0.3">
      <c r="A102" s="5" cm="1">
        <f t="array" ref="A102">1000 + ROW(102:102)</f>
        <v>1102</v>
      </c>
      <c r="B102" s="6">
        <f t="shared" ca="1" si="5"/>
        <v>45327</v>
      </c>
      <c r="C102" s="5" t="str" cm="1">
        <f t="array" aca="1" ref="C102" ca="1">INDEX({"S001","S002","S003","S004","S005"}, RANDBETWEEN(1,5))</f>
        <v>S003</v>
      </c>
      <c r="D102" s="5" t="str" cm="1">
        <f t="array" aca="1" ref="D102" ca="1">INDEX({"Mumbai","Delhi","Bangalore","Ahmedabad","Chennai"}, RANDBETWEEN(1,5))</f>
        <v>Ahmedabad</v>
      </c>
      <c r="E102" s="5" t="str" cm="1">
        <f t="array" aca="1" ref="E102" ca="1">INDEX({"Electronics","Groceries","Furniture","Clothing","Stationery"}, RANDBETWEEN(1,5))</f>
        <v>Furniture</v>
      </c>
      <c r="F102" s="5" t="str">
        <f t="shared" ca="1" si="6"/>
        <v>Desk Lamp</v>
      </c>
      <c r="G102" s="8">
        <f t="shared" ca="1" si="7"/>
        <v>67</v>
      </c>
      <c r="H102" s="10">
        <f t="shared" ca="1" si="8"/>
        <v>900</v>
      </c>
      <c r="I102" s="10">
        <f t="shared" ca="1" si="9"/>
        <v>60300</v>
      </c>
      <c r="J102" s="10">
        <f ca="1">Table2[[#This Row],[Unit Price]] * RANDBETWEEN(70,90)/100</f>
        <v>702</v>
      </c>
      <c r="K102" s="12">
        <f ca="1">(Table2[[#This Row],[Unit Price]] - Table2[[#This Row],[Cost per Unit]]) * Table2[[#This Row],[Units Sold]]</f>
        <v>13266</v>
      </c>
    </row>
    <row r="103" spans="1:11" ht="15.6" x14ac:dyDescent="0.3">
      <c r="A103" s="5" cm="1">
        <f t="array" ref="A103">1000 + ROW(103:103)</f>
        <v>1103</v>
      </c>
      <c r="B103" s="6">
        <f t="shared" ca="1" si="5"/>
        <v>45334</v>
      </c>
      <c r="C103" s="5" t="str" cm="1">
        <f t="array" aca="1" ref="C103" ca="1">INDEX({"S001","S002","S003","S004","S005"}, RANDBETWEEN(1,5))</f>
        <v>S003</v>
      </c>
      <c r="D103" s="5" t="str" cm="1">
        <f t="array" aca="1" ref="D103" ca="1">INDEX({"Mumbai","Delhi","Bangalore","Ahmedabad","Chennai"}, RANDBETWEEN(1,5))</f>
        <v>Chennai</v>
      </c>
      <c r="E103" s="5" t="str" cm="1">
        <f t="array" aca="1" ref="E103" ca="1">INDEX({"Electronics","Groceries","Furniture","Clothing","Stationery"}, RANDBETWEEN(1,5))</f>
        <v>Electronics</v>
      </c>
      <c r="F103" s="5" t="str">
        <f t="shared" ca="1" si="6"/>
        <v>Rice 5kg</v>
      </c>
      <c r="G103" s="8">
        <f t="shared" ca="1" si="7"/>
        <v>78</v>
      </c>
      <c r="H103" s="10">
        <f t="shared" ca="1" si="8"/>
        <v>250</v>
      </c>
      <c r="I103" s="10">
        <f t="shared" ca="1" si="9"/>
        <v>19500</v>
      </c>
      <c r="J103" s="10">
        <f ca="1">Table2[[#This Row],[Unit Price]] * RANDBETWEEN(70,90)/100</f>
        <v>217.5</v>
      </c>
      <c r="K103" s="12">
        <f ca="1">(Table2[[#This Row],[Unit Price]] - Table2[[#This Row],[Cost per Unit]]) * Table2[[#This Row],[Units Sold]]</f>
        <v>2535</v>
      </c>
    </row>
    <row r="104" spans="1:11" ht="15.6" x14ac:dyDescent="0.3">
      <c r="A104" s="5" cm="1">
        <f t="array" ref="A104">1000 + ROW(104:104)</f>
        <v>1104</v>
      </c>
      <c r="B104" s="6">
        <f t="shared" ca="1" si="5"/>
        <v>45352</v>
      </c>
      <c r="C104" s="5" t="str" cm="1">
        <f t="array" aca="1" ref="C104" ca="1">INDEX({"S001","S002","S003","S004","S005"}, RANDBETWEEN(1,5))</f>
        <v>S002</v>
      </c>
      <c r="D104" s="5" t="str" cm="1">
        <f t="array" aca="1" ref="D104" ca="1">INDEX({"Mumbai","Delhi","Bangalore","Ahmedabad","Chennai"}, RANDBETWEEN(1,5))</f>
        <v>Bangalore</v>
      </c>
      <c r="E104" s="5" t="str" cm="1">
        <f t="array" aca="1" ref="E104" ca="1">INDEX({"Electronics","Groceries","Furniture","Clothing","Stationery"}, RANDBETWEEN(1,5))</f>
        <v>Stationery</v>
      </c>
      <c r="F104" s="5" t="str">
        <f t="shared" ca="1" si="6"/>
        <v>Shampoo</v>
      </c>
      <c r="G104" s="8">
        <f t="shared" ca="1" si="7"/>
        <v>35</v>
      </c>
      <c r="H104" s="10">
        <f t="shared" ca="1" si="8"/>
        <v>300</v>
      </c>
      <c r="I104" s="10">
        <f t="shared" ca="1" si="9"/>
        <v>10500</v>
      </c>
      <c r="J104" s="10">
        <f ca="1">Table2[[#This Row],[Unit Price]] * RANDBETWEEN(70,90)/100</f>
        <v>240</v>
      </c>
      <c r="K104" s="12">
        <f ca="1">(Table2[[#This Row],[Unit Price]] - Table2[[#This Row],[Cost per Unit]]) * Table2[[#This Row],[Units Sold]]</f>
        <v>2100</v>
      </c>
    </row>
    <row r="105" spans="1:11" ht="15.6" x14ac:dyDescent="0.3">
      <c r="A105" s="5" cm="1">
        <f t="array" ref="A105">1000 + ROW(105:105)</f>
        <v>1105</v>
      </c>
      <c r="B105" s="6">
        <f t="shared" ca="1" si="5"/>
        <v>45361</v>
      </c>
      <c r="C105" s="5" t="str" cm="1">
        <f t="array" aca="1" ref="C105" ca="1">INDEX({"S001","S002","S003","S004","S005"}, RANDBETWEEN(1,5))</f>
        <v>S005</v>
      </c>
      <c r="D105" s="5" t="str" cm="1">
        <f t="array" aca="1" ref="D105" ca="1">INDEX({"Mumbai","Delhi","Bangalore","Ahmedabad","Chennai"}, RANDBETWEEN(1,5))</f>
        <v>Ahmedabad</v>
      </c>
      <c r="E105" s="5" t="str" cm="1">
        <f t="array" aca="1" ref="E105" ca="1">INDEX({"Electronics","Groceries","Furniture","Clothing","Stationery"}, RANDBETWEEN(1,5))</f>
        <v>Groceries</v>
      </c>
      <c r="F105" s="5" t="str">
        <f t="shared" ca="1" si="6"/>
        <v>Smartphone</v>
      </c>
      <c r="G105" s="8">
        <f t="shared" ca="1" si="7"/>
        <v>7</v>
      </c>
      <c r="H105" s="10">
        <f t="shared" ca="1" si="8"/>
        <v>700</v>
      </c>
      <c r="I105" s="10">
        <f t="shared" ca="1" si="9"/>
        <v>4900</v>
      </c>
      <c r="J105" s="10">
        <f ca="1">Table2[[#This Row],[Unit Price]] * RANDBETWEEN(70,90)/100</f>
        <v>532</v>
      </c>
      <c r="K105" s="12">
        <f ca="1">(Table2[[#This Row],[Unit Price]] - Table2[[#This Row],[Cost per Unit]]) * Table2[[#This Row],[Units Sold]]</f>
        <v>1176</v>
      </c>
    </row>
    <row r="106" spans="1:11" ht="15.6" x14ac:dyDescent="0.3">
      <c r="A106" s="5" cm="1">
        <f t="array" ref="A106">1000 + ROW(106:106)</f>
        <v>1106</v>
      </c>
      <c r="B106" s="6">
        <f t="shared" ca="1" si="5"/>
        <v>45335</v>
      </c>
      <c r="C106" s="5" t="str" cm="1">
        <f t="array" aca="1" ref="C106" ca="1">INDEX({"S001","S002","S003","S004","S005"}, RANDBETWEEN(1,5))</f>
        <v>S003</v>
      </c>
      <c r="D106" s="5" t="str" cm="1">
        <f t="array" aca="1" ref="D106" ca="1">INDEX({"Mumbai","Delhi","Bangalore","Ahmedabad","Chennai"}, RANDBETWEEN(1,5))</f>
        <v>Bangalore</v>
      </c>
      <c r="E106" s="5" t="str" cm="1">
        <f t="array" aca="1" ref="E106" ca="1">INDEX({"Electronics","Groceries","Furniture","Clothing","Stationery"}, RANDBETWEEN(1,5))</f>
        <v>Electronics</v>
      </c>
      <c r="F106" s="5" t="str">
        <f t="shared" ca="1" si="6"/>
        <v>Laptop</v>
      </c>
      <c r="G106" s="8">
        <f t="shared" ca="1" si="7"/>
        <v>28</v>
      </c>
      <c r="H106" s="10">
        <f t="shared" ca="1" si="8"/>
        <v>300</v>
      </c>
      <c r="I106" s="10">
        <f t="shared" ca="1" si="9"/>
        <v>8400</v>
      </c>
      <c r="J106" s="10">
        <f ca="1">Table2[[#This Row],[Unit Price]] * RANDBETWEEN(70,90)/100</f>
        <v>231</v>
      </c>
      <c r="K106" s="12">
        <f ca="1">(Table2[[#This Row],[Unit Price]] - Table2[[#This Row],[Cost per Unit]]) * Table2[[#This Row],[Units Sold]]</f>
        <v>1932</v>
      </c>
    </row>
    <row r="107" spans="1:11" ht="15.6" x14ac:dyDescent="0.3">
      <c r="A107" s="5" cm="1">
        <f t="array" ref="A107">1000 + ROW(107:107)</f>
        <v>1107</v>
      </c>
      <c r="B107" s="6">
        <f t="shared" ca="1" si="5"/>
        <v>45321</v>
      </c>
      <c r="C107" s="5" t="str" cm="1">
        <f t="array" aca="1" ref="C107" ca="1">INDEX({"S001","S002","S003","S004","S005"}, RANDBETWEEN(1,5))</f>
        <v>S003</v>
      </c>
      <c r="D107" s="5" t="str" cm="1">
        <f t="array" aca="1" ref="D107" ca="1">INDEX({"Mumbai","Delhi","Bangalore","Ahmedabad","Chennai"}, RANDBETWEEN(1,5))</f>
        <v>Mumbai</v>
      </c>
      <c r="E107" s="5" t="str" cm="1">
        <f t="array" aca="1" ref="E107" ca="1">INDEX({"Electronics","Groceries","Furniture","Clothing","Stationery"}, RANDBETWEEN(1,5))</f>
        <v>Clothing</v>
      </c>
      <c r="F107" s="5" t="str">
        <f t="shared" ca="1" si="6"/>
        <v>T-shirt</v>
      </c>
      <c r="G107" s="8">
        <f t="shared" ca="1" si="7"/>
        <v>44</v>
      </c>
      <c r="H107" s="10">
        <f t="shared" ca="1" si="8"/>
        <v>1200</v>
      </c>
      <c r="I107" s="10">
        <f t="shared" ca="1" si="9"/>
        <v>52800</v>
      </c>
      <c r="J107" s="10">
        <f ca="1">Table2[[#This Row],[Unit Price]] * RANDBETWEEN(70,90)/100</f>
        <v>912</v>
      </c>
      <c r="K107" s="12">
        <f ca="1">(Table2[[#This Row],[Unit Price]] - Table2[[#This Row],[Cost per Unit]]) * Table2[[#This Row],[Units Sold]]</f>
        <v>12672</v>
      </c>
    </row>
    <row r="108" spans="1:11" ht="15.6" x14ac:dyDescent="0.3">
      <c r="A108" s="5" cm="1">
        <f t="array" ref="A108">1000 + ROW(108:108)</f>
        <v>1108</v>
      </c>
      <c r="B108" s="6">
        <f t="shared" ca="1" si="5"/>
        <v>45339</v>
      </c>
      <c r="C108" s="5" t="str" cm="1">
        <f t="array" aca="1" ref="C108" ca="1">INDEX({"S001","S002","S003","S004","S005"}, RANDBETWEEN(1,5))</f>
        <v>S001</v>
      </c>
      <c r="D108" s="5" t="str" cm="1">
        <f t="array" aca="1" ref="D108" ca="1">INDEX({"Mumbai","Delhi","Bangalore","Ahmedabad","Chennai"}, RANDBETWEEN(1,5))</f>
        <v>Ahmedabad</v>
      </c>
      <c r="E108" s="5" t="str" cm="1">
        <f t="array" aca="1" ref="E108" ca="1">INDEX({"Electronics","Groceries","Furniture","Clothing","Stationery"}, RANDBETWEEN(1,5))</f>
        <v>Stationery</v>
      </c>
      <c r="F108" s="5" t="str">
        <f t="shared" ca="1" si="6"/>
        <v>Office Chair</v>
      </c>
      <c r="G108" s="8">
        <f t="shared" ca="1" si="7"/>
        <v>85</v>
      </c>
      <c r="H108" s="10">
        <f t="shared" ca="1" si="8"/>
        <v>15000</v>
      </c>
      <c r="I108" s="10">
        <f t="shared" ca="1" si="9"/>
        <v>1275000</v>
      </c>
      <c r="J108" s="10">
        <f ca="1">Table2[[#This Row],[Unit Price]] * RANDBETWEEN(70,90)/100</f>
        <v>10950</v>
      </c>
      <c r="K108" s="12">
        <f ca="1">(Table2[[#This Row],[Unit Price]] - Table2[[#This Row],[Cost per Unit]]) * Table2[[#This Row],[Units Sold]]</f>
        <v>344250</v>
      </c>
    </row>
    <row r="109" spans="1:11" ht="15.6" x14ac:dyDescent="0.3">
      <c r="A109" s="5" cm="1">
        <f t="array" ref="A109">1000 + ROW(109:109)</f>
        <v>1109</v>
      </c>
      <c r="B109" s="6">
        <f t="shared" ca="1" si="5"/>
        <v>45375</v>
      </c>
      <c r="C109" s="5" t="str" cm="1">
        <f t="array" aca="1" ref="C109" ca="1">INDEX({"S001","S002","S003","S004","S005"}, RANDBETWEEN(1,5))</f>
        <v>S004</v>
      </c>
      <c r="D109" s="5" t="str" cm="1">
        <f t="array" aca="1" ref="D109" ca="1">INDEX({"Mumbai","Delhi","Bangalore","Ahmedabad","Chennai"}, RANDBETWEEN(1,5))</f>
        <v>Chennai</v>
      </c>
      <c r="E109" s="5" t="str" cm="1">
        <f t="array" aca="1" ref="E109" ca="1">INDEX({"Electronics","Groceries","Furniture","Clothing","Stationery"}, RANDBETWEEN(1,5))</f>
        <v>Clothing</v>
      </c>
      <c r="F109" s="5" t="str">
        <f t="shared" ca="1" si="6"/>
        <v>Shampoo</v>
      </c>
      <c r="G109" s="8">
        <f t="shared" ca="1" si="7"/>
        <v>9</v>
      </c>
      <c r="H109" s="10">
        <f t="shared" ca="1" si="8"/>
        <v>30000</v>
      </c>
      <c r="I109" s="10">
        <f t="shared" ca="1" si="9"/>
        <v>270000</v>
      </c>
      <c r="J109" s="10">
        <f ca="1">Table2[[#This Row],[Unit Price]] * RANDBETWEEN(70,90)/100</f>
        <v>23400</v>
      </c>
      <c r="K109" s="12">
        <f ca="1">(Table2[[#This Row],[Unit Price]] - Table2[[#This Row],[Cost per Unit]]) * Table2[[#This Row],[Units Sold]]</f>
        <v>59400</v>
      </c>
    </row>
    <row r="110" spans="1:11" ht="15.6" x14ac:dyDescent="0.3">
      <c r="A110" s="5" cm="1">
        <f t="array" ref="A110">1000 + ROW(110:110)</f>
        <v>1110</v>
      </c>
      <c r="B110" s="6">
        <f t="shared" ca="1" si="5"/>
        <v>45318</v>
      </c>
      <c r="C110" s="5" t="str" cm="1">
        <f t="array" aca="1" ref="C110" ca="1">INDEX({"S001","S002","S003","S004","S005"}, RANDBETWEEN(1,5))</f>
        <v>S003</v>
      </c>
      <c r="D110" s="5" t="str" cm="1">
        <f t="array" aca="1" ref="D110" ca="1">INDEX({"Mumbai","Delhi","Bangalore","Ahmedabad","Chennai"}, RANDBETWEEN(1,5))</f>
        <v>Ahmedabad</v>
      </c>
      <c r="E110" s="5" t="str" cm="1">
        <f t="array" aca="1" ref="E110" ca="1">INDEX({"Electronics","Groceries","Furniture","Clothing","Stationery"}, RANDBETWEEN(1,5))</f>
        <v>Stationery</v>
      </c>
      <c r="F110" s="5" t="str">
        <f t="shared" ca="1" si="6"/>
        <v>Cooking Oil 1L</v>
      </c>
      <c r="G110" s="8">
        <f t="shared" ca="1" si="7"/>
        <v>20</v>
      </c>
      <c r="H110" s="10">
        <f t="shared" ca="1" si="8"/>
        <v>500</v>
      </c>
      <c r="I110" s="10">
        <f t="shared" ca="1" si="9"/>
        <v>10000</v>
      </c>
      <c r="J110" s="10">
        <f ca="1">Table2[[#This Row],[Unit Price]] * RANDBETWEEN(70,90)/100</f>
        <v>380</v>
      </c>
      <c r="K110" s="12">
        <f ca="1">(Table2[[#This Row],[Unit Price]] - Table2[[#This Row],[Cost per Unit]]) * Table2[[#This Row],[Units Sold]]</f>
        <v>2400</v>
      </c>
    </row>
    <row r="111" spans="1:11" ht="15.6" x14ac:dyDescent="0.3">
      <c r="A111" s="5" cm="1">
        <f t="array" ref="A111">1000 + ROW(111:111)</f>
        <v>1111</v>
      </c>
      <c r="B111" s="6">
        <f t="shared" ca="1" si="5"/>
        <v>45331</v>
      </c>
      <c r="C111" s="5" t="str" cm="1">
        <f t="array" aca="1" ref="C111" ca="1">INDEX({"S001","S002","S003","S004","S005"}, RANDBETWEEN(1,5))</f>
        <v>S005</v>
      </c>
      <c r="D111" s="5" t="str" cm="1">
        <f t="array" aca="1" ref="D111" ca="1">INDEX({"Mumbai","Delhi","Bangalore","Ahmedabad","Chennai"}, RANDBETWEEN(1,5))</f>
        <v>Bangalore</v>
      </c>
      <c r="E111" s="5" t="str" cm="1">
        <f t="array" aca="1" ref="E111" ca="1">INDEX({"Electronics","Groceries","Furniture","Clothing","Stationery"}, RANDBETWEEN(1,5))</f>
        <v>Stationery</v>
      </c>
      <c r="F111" s="5" t="str">
        <f t="shared" ca="1" si="6"/>
        <v>Office Chair</v>
      </c>
      <c r="G111" s="8">
        <f t="shared" ca="1" si="7"/>
        <v>43</v>
      </c>
      <c r="H111" s="10">
        <f t="shared" ca="1" si="8"/>
        <v>50</v>
      </c>
      <c r="I111" s="10">
        <f t="shared" ca="1" si="9"/>
        <v>2150</v>
      </c>
      <c r="J111" s="10">
        <f ca="1">Table2[[#This Row],[Unit Price]] * RANDBETWEEN(70,90)/100</f>
        <v>41</v>
      </c>
      <c r="K111" s="12">
        <f ca="1">(Table2[[#This Row],[Unit Price]] - Table2[[#This Row],[Cost per Unit]]) * Table2[[#This Row],[Units Sold]]</f>
        <v>387</v>
      </c>
    </row>
    <row r="112" spans="1:11" ht="15.6" x14ac:dyDescent="0.3">
      <c r="A112" s="5" cm="1">
        <f t="array" ref="A112">1000 + ROW(112:112)</f>
        <v>1112</v>
      </c>
      <c r="B112" s="6">
        <f t="shared" ca="1" si="5"/>
        <v>45295</v>
      </c>
      <c r="C112" s="5" t="str" cm="1">
        <f t="array" aca="1" ref="C112" ca="1">INDEX({"S001","S002","S003","S004","S005"}, RANDBETWEEN(1,5))</f>
        <v>S001</v>
      </c>
      <c r="D112" s="5" t="str" cm="1">
        <f t="array" aca="1" ref="D112" ca="1">INDEX({"Mumbai","Delhi","Bangalore","Ahmedabad","Chennai"}, RANDBETWEEN(1,5))</f>
        <v>Ahmedabad</v>
      </c>
      <c r="E112" s="5" t="str" cm="1">
        <f t="array" aca="1" ref="E112" ca="1">INDEX({"Electronics","Groceries","Furniture","Clothing","Stationery"}, RANDBETWEEN(1,5))</f>
        <v>Stationery</v>
      </c>
      <c r="F112" s="5" t="str">
        <f t="shared" ca="1" si="6"/>
        <v>Desk Lamp</v>
      </c>
      <c r="G112" s="8">
        <f t="shared" ca="1" si="7"/>
        <v>30</v>
      </c>
      <c r="H112" s="10">
        <f t="shared" ca="1" si="8"/>
        <v>1200</v>
      </c>
      <c r="I112" s="10">
        <f t="shared" ca="1" si="9"/>
        <v>36000</v>
      </c>
      <c r="J112" s="10">
        <f ca="1">Table2[[#This Row],[Unit Price]] * RANDBETWEEN(70,90)/100</f>
        <v>960</v>
      </c>
      <c r="K112" s="12">
        <f ca="1">(Table2[[#This Row],[Unit Price]] - Table2[[#This Row],[Cost per Unit]]) * Table2[[#This Row],[Units Sold]]</f>
        <v>7200</v>
      </c>
    </row>
    <row r="113" spans="1:11" ht="15.6" x14ac:dyDescent="0.3">
      <c r="A113" s="5" cm="1">
        <f t="array" ref="A113">1000 + ROW(113:113)</f>
        <v>1113</v>
      </c>
      <c r="B113" s="6">
        <f t="shared" ca="1" si="5"/>
        <v>45315</v>
      </c>
      <c r="C113" s="5" t="str" cm="1">
        <f t="array" aca="1" ref="C113" ca="1">INDEX({"S001","S002","S003","S004","S005"}, RANDBETWEEN(1,5))</f>
        <v>S003</v>
      </c>
      <c r="D113" s="5" t="str" cm="1">
        <f t="array" aca="1" ref="D113" ca="1">INDEX({"Mumbai","Delhi","Bangalore","Ahmedabad","Chennai"}, RANDBETWEEN(1,5))</f>
        <v>Mumbai</v>
      </c>
      <c r="E113" s="5" t="str" cm="1">
        <f t="array" aca="1" ref="E113" ca="1">INDEX({"Electronics","Groceries","Furniture","Clothing","Stationery"}, RANDBETWEEN(1,5))</f>
        <v>Electronics</v>
      </c>
      <c r="F113" s="5" t="str">
        <f t="shared" ca="1" si="6"/>
        <v>Cooking Oil 1L</v>
      </c>
      <c r="G113" s="8">
        <f t="shared" ca="1" si="7"/>
        <v>6</v>
      </c>
      <c r="H113" s="10">
        <f t="shared" ca="1" si="8"/>
        <v>500</v>
      </c>
      <c r="I113" s="10">
        <f t="shared" ca="1" si="9"/>
        <v>3000</v>
      </c>
      <c r="J113" s="10">
        <f ca="1">Table2[[#This Row],[Unit Price]] * RANDBETWEEN(70,90)/100</f>
        <v>410</v>
      </c>
      <c r="K113" s="12">
        <f ca="1">(Table2[[#This Row],[Unit Price]] - Table2[[#This Row],[Cost per Unit]]) * Table2[[#This Row],[Units Sold]]</f>
        <v>540</v>
      </c>
    </row>
    <row r="114" spans="1:11" ht="15.6" x14ac:dyDescent="0.3">
      <c r="A114" s="5" cm="1">
        <f t="array" ref="A114">1000 + ROW(114:114)</f>
        <v>1114</v>
      </c>
      <c r="B114" s="6">
        <f t="shared" ca="1" si="5"/>
        <v>45321</v>
      </c>
      <c r="C114" s="5" t="str" cm="1">
        <f t="array" aca="1" ref="C114" ca="1">INDEX({"S001","S002","S003","S004","S005"}, RANDBETWEEN(1,5))</f>
        <v>S001</v>
      </c>
      <c r="D114" s="5" t="str" cm="1">
        <f t="array" aca="1" ref="D114" ca="1">INDEX({"Mumbai","Delhi","Bangalore","Ahmedabad","Chennai"}, RANDBETWEEN(1,5))</f>
        <v>Delhi</v>
      </c>
      <c r="E114" s="5" t="str" cm="1">
        <f t="array" aca="1" ref="E114" ca="1">INDEX({"Electronics","Groceries","Furniture","Clothing","Stationery"}, RANDBETWEEN(1,5))</f>
        <v>Clothing</v>
      </c>
      <c r="F114" s="5" t="str">
        <f t="shared" ca="1" si="6"/>
        <v>Cooking Oil 1L</v>
      </c>
      <c r="G114" s="8">
        <f t="shared" ca="1" si="7"/>
        <v>42</v>
      </c>
      <c r="H114" s="10">
        <f t="shared" ca="1" si="8"/>
        <v>500</v>
      </c>
      <c r="I114" s="10">
        <f t="shared" ca="1" si="9"/>
        <v>21000</v>
      </c>
      <c r="J114" s="10">
        <f ca="1">Table2[[#This Row],[Unit Price]] * RANDBETWEEN(70,90)/100</f>
        <v>365</v>
      </c>
      <c r="K114" s="12">
        <f ca="1">(Table2[[#This Row],[Unit Price]] - Table2[[#This Row],[Cost per Unit]]) * Table2[[#This Row],[Units Sold]]</f>
        <v>5670</v>
      </c>
    </row>
    <row r="115" spans="1:11" ht="15.6" x14ac:dyDescent="0.3">
      <c r="A115" s="5" cm="1">
        <f t="array" ref="A115">1000 + ROW(115:115)</f>
        <v>1115</v>
      </c>
      <c r="B115" s="6">
        <f t="shared" ca="1" si="5"/>
        <v>45366</v>
      </c>
      <c r="C115" s="5" t="str" cm="1">
        <f t="array" aca="1" ref="C115" ca="1">INDEX({"S001","S002","S003","S004","S005"}, RANDBETWEEN(1,5))</f>
        <v>S001</v>
      </c>
      <c r="D115" s="5" t="str" cm="1">
        <f t="array" aca="1" ref="D115" ca="1">INDEX({"Mumbai","Delhi","Bangalore","Ahmedabad","Chennai"}, RANDBETWEEN(1,5))</f>
        <v>Delhi</v>
      </c>
      <c r="E115" s="5" t="str" cm="1">
        <f t="array" aca="1" ref="E115" ca="1">INDEX({"Electronics","Groceries","Furniture","Clothing","Stationery"}, RANDBETWEEN(1,5))</f>
        <v>Clothing</v>
      </c>
      <c r="F115" s="5" t="str">
        <f t="shared" ca="1" si="6"/>
        <v>Table</v>
      </c>
      <c r="G115" s="8">
        <f t="shared" ca="1" si="7"/>
        <v>97</v>
      </c>
      <c r="H115" s="10">
        <f t="shared" ca="1" si="8"/>
        <v>150</v>
      </c>
      <c r="I115" s="10">
        <f t="shared" ca="1" si="9"/>
        <v>14550</v>
      </c>
      <c r="J115" s="10">
        <f ca="1">Table2[[#This Row],[Unit Price]] * RANDBETWEEN(70,90)/100</f>
        <v>123</v>
      </c>
      <c r="K115" s="12">
        <f ca="1">(Table2[[#This Row],[Unit Price]] - Table2[[#This Row],[Cost per Unit]]) * Table2[[#This Row],[Units Sold]]</f>
        <v>2619</v>
      </c>
    </row>
    <row r="116" spans="1:11" ht="15.6" x14ac:dyDescent="0.3">
      <c r="A116" s="5" cm="1">
        <f t="array" ref="A116">1000 + ROW(116:116)</f>
        <v>1116</v>
      </c>
      <c r="B116" s="6">
        <f t="shared" ca="1" si="5"/>
        <v>45349</v>
      </c>
      <c r="C116" s="5" t="str" cm="1">
        <f t="array" aca="1" ref="C116" ca="1">INDEX({"S001","S002","S003","S004","S005"}, RANDBETWEEN(1,5))</f>
        <v>S004</v>
      </c>
      <c r="D116" s="5" t="str" cm="1">
        <f t="array" aca="1" ref="D116" ca="1">INDEX({"Mumbai","Delhi","Bangalore","Ahmedabad","Chennai"}, RANDBETWEEN(1,5))</f>
        <v>Bangalore</v>
      </c>
      <c r="E116" s="5" t="str" cm="1">
        <f t="array" aca="1" ref="E116" ca="1">INDEX({"Electronics","Groceries","Furniture","Clothing","Stationery"}, RANDBETWEEN(1,5))</f>
        <v>Stationery</v>
      </c>
      <c r="F116" s="5" t="str">
        <f t="shared" ca="1" si="6"/>
        <v>Smartphone</v>
      </c>
      <c r="G116" s="8">
        <f t="shared" ca="1" si="7"/>
        <v>42</v>
      </c>
      <c r="H116" s="10">
        <f t="shared" ca="1" si="8"/>
        <v>300</v>
      </c>
      <c r="I116" s="10">
        <f t="shared" ca="1" si="9"/>
        <v>12600</v>
      </c>
      <c r="J116" s="10">
        <f ca="1">Table2[[#This Row],[Unit Price]] * RANDBETWEEN(70,90)/100</f>
        <v>225</v>
      </c>
      <c r="K116" s="12">
        <f ca="1">(Table2[[#This Row],[Unit Price]] - Table2[[#This Row],[Cost per Unit]]) * Table2[[#This Row],[Units Sold]]</f>
        <v>3150</v>
      </c>
    </row>
    <row r="117" spans="1:11" ht="15.6" x14ac:dyDescent="0.3">
      <c r="A117" s="5" cm="1">
        <f t="array" ref="A117">1000 + ROW(117:117)</f>
        <v>1117</v>
      </c>
      <c r="B117" s="6">
        <f t="shared" ca="1" si="5"/>
        <v>45382</v>
      </c>
      <c r="C117" s="5" t="str" cm="1">
        <f t="array" aca="1" ref="C117" ca="1">INDEX({"S001","S002","S003","S004","S005"}, RANDBETWEEN(1,5))</f>
        <v>S001</v>
      </c>
      <c r="D117" s="5" t="str" cm="1">
        <f t="array" aca="1" ref="D117" ca="1">INDEX({"Mumbai","Delhi","Bangalore","Ahmedabad","Chennai"}, RANDBETWEEN(1,5))</f>
        <v>Ahmedabad</v>
      </c>
      <c r="E117" s="5" t="str" cm="1">
        <f t="array" aca="1" ref="E117" ca="1">INDEX({"Electronics","Groceries","Furniture","Clothing","Stationery"}, RANDBETWEEN(1,5))</f>
        <v>Groceries</v>
      </c>
      <c r="F117" s="5" t="str">
        <f t="shared" ca="1" si="6"/>
        <v>Shampoo</v>
      </c>
      <c r="G117" s="8">
        <f t="shared" ca="1" si="7"/>
        <v>49</v>
      </c>
      <c r="H117" s="10">
        <f t="shared" ca="1" si="8"/>
        <v>250</v>
      </c>
      <c r="I117" s="10">
        <f t="shared" ca="1" si="9"/>
        <v>12250</v>
      </c>
      <c r="J117" s="10">
        <f ca="1">Table2[[#This Row],[Unit Price]] * RANDBETWEEN(70,90)/100</f>
        <v>192.5</v>
      </c>
      <c r="K117" s="12">
        <f ca="1">(Table2[[#This Row],[Unit Price]] - Table2[[#This Row],[Cost per Unit]]) * Table2[[#This Row],[Units Sold]]</f>
        <v>2817.5</v>
      </c>
    </row>
    <row r="118" spans="1:11" ht="15.6" x14ac:dyDescent="0.3">
      <c r="A118" s="5" cm="1">
        <f t="array" ref="A118">1000 + ROW(118:118)</f>
        <v>1118</v>
      </c>
      <c r="B118" s="6">
        <f t="shared" ca="1" si="5"/>
        <v>45378</v>
      </c>
      <c r="C118" s="5" t="str" cm="1">
        <f t="array" aca="1" ref="C118" ca="1">INDEX({"S001","S002","S003","S004","S005"}, RANDBETWEEN(1,5))</f>
        <v>S005</v>
      </c>
      <c r="D118" s="5" t="str" cm="1">
        <f t="array" aca="1" ref="D118" ca="1">INDEX({"Mumbai","Delhi","Bangalore","Ahmedabad","Chennai"}, RANDBETWEEN(1,5))</f>
        <v>Mumbai</v>
      </c>
      <c r="E118" s="5" t="str" cm="1">
        <f t="array" aca="1" ref="E118" ca="1">INDEX({"Electronics","Groceries","Furniture","Clothing","Stationery"}, RANDBETWEEN(1,5))</f>
        <v>Electronics</v>
      </c>
      <c r="F118" s="5" t="str">
        <f t="shared" ca="1" si="6"/>
        <v>Notebook</v>
      </c>
      <c r="G118" s="8">
        <f t="shared" ca="1" si="7"/>
        <v>53</v>
      </c>
      <c r="H118" s="10">
        <f t="shared" ca="1" si="8"/>
        <v>50</v>
      </c>
      <c r="I118" s="10">
        <f t="shared" ca="1" si="9"/>
        <v>2650</v>
      </c>
      <c r="J118" s="10">
        <f ca="1">Table2[[#This Row],[Unit Price]] * RANDBETWEEN(70,90)/100</f>
        <v>35</v>
      </c>
      <c r="K118" s="12">
        <f ca="1">(Table2[[#This Row],[Unit Price]] - Table2[[#This Row],[Cost per Unit]]) * Table2[[#This Row],[Units Sold]]</f>
        <v>795</v>
      </c>
    </row>
    <row r="119" spans="1:11" ht="15.6" x14ac:dyDescent="0.3">
      <c r="A119" s="5" cm="1">
        <f t="array" ref="A119">1000 + ROW(119:119)</f>
        <v>1119</v>
      </c>
      <c r="B119" s="6">
        <f t="shared" ca="1" si="5"/>
        <v>45337</v>
      </c>
      <c r="C119" s="5" t="str" cm="1">
        <f t="array" aca="1" ref="C119" ca="1">INDEX({"S001","S002","S003","S004","S005"}, RANDBETWEEN(1,5))</f>
        <v>S001</v>
      </c>
      <c r="D119" s="5" t="str" cm="1">
        <f t="array" aca="1" ref="D119" ca="1">INDEX({"Mumbai","Delhi","Bangalore","Ahmedabad","Chennai"}, RANDBETWEEN(1,5))</f>
        <v>Bangalore</v>
      </c>
      <c r="E119" s="5" t="str" cm="1">
        <f t="array" aca="1" ref="E119" ca="1">INDEX({"Electronics","Groceries","Furniture","Clothing","Stationery"}, RANDBETWEEN(1,5))</f>
        <v>Electronics</v>
      </c>
      <c r="F119" s="5" t="str">
        <f t="shared" ca="1" si="6"/>
        <v>Desk Lamp</v>
      </c>
      <c r="G119" s="8">
        <f t="shared" ca="1" si="7"/>
        <v>15</v>
      </c>
      <c r="H119" s="10">
        <f t="shared" ca="1" si="8"/>
        <v>30000</v>
      </c>
      <c r="I119" s="10">
        <f t="shared" ca="1" si="9"/>
        <v>450000</v>
      </c>
      <c r="J119" s="10">
        <f ca="1">Table2[[#This Row],[Unit Price]] * RANDBETWEEN(70,90)/100</f>
        <v>26700</v>
      </c>
      <c r="K119" s="12">
        <f ca="1">(Table2[[#This Row],[Unit Price]] - Table2[[#This Row],[Cost per Unit]]) * Table2[[#This Row],[Units Sold]]</f>
        <v>49500</v>
      </c>
    </row>
    <row r="120" spans="1:11" ht="15.6" x14ac:dyDescent="0.3">
      <c r="A120" s="5" cm="1">
        <f t="array" ref="A120">1000 + ROW(120:120)</f>
        <v>1120</v>
      </c>
      <c r="B120" s="6">
        <f t="shared" ca="1" si="5"/>
        <v>45375</v>
      </c>
      <c r="C120" s="5" t="str" cm="1">
        <f t="array" aca="1" ref="C120" ca="1">INDEX({"S001","S002","S003","S004","S005"}, RANDBETWEEN(1,5))</f>
        <v>S004</v>
      </c>
      <c r="D120" s="5" t="str" cm="1">
        <f t="array" aca="1" ref="D120" ca="1">INDEX({"Mumbai","Delhi","Bangalore","Ahmedabad","Chennai"}, RANDBETWEEN(1,5))</f>
        <v>Delhi</v>
      </c>
      <c r="E120" s="5" t="str" cm="1">
        <f t="array" aca="1" ref="E120" ca="1">INDEX({"Electronics","Groceries","Furniture","Clothing","Stationery"}, RANDBETWEEN(1,5))</f>
        <v>Clothing</v>
      </c>
      <c r="F120" s="5" t="str">
        <f t="shared" ca="1" si="6"/>
        <v>Smartphone</v>
      </c>
      <c r="G120" s="8">
        <f t="shared" ca="1" si="7"/>
        <v>7</v>
      </c>
      <c r="H120" s="10">
        <f t="shared" ca="1" si="8"/>
        <v>900</v>
      </c>
      <c r="I120" s="10">
        <f t="shared" ca="1" si="9"/>
        <v>6300</v>
      </c>
      <c r="J120" s="10">
        <f ca="1">Table2[[#This Row],[Unit Price]] * RANDBETWEEN(70,90)/100</f>
        <v>765</v>
      </c>
      <c r="K120" s="12">
        <f ca="1">(Table2[[#This Row],[Unit Price]] - Table2[[#This Row],[Cost per Unit]]) * Table2[[#This Row],[Units Sold]]</f>
        <v>945</v>
      </c>
    </row>
    <row r="121" spans="1:11" ht="15.6" x14ac:dyDescent="0.3">
      <c r="A121" s="5" cm="1">
        <f t="array" ref="A121">1000 + ROW(121:121)</f>
        <v>1121</v>
      </c>
      <c r="B121" s="6">
        <f t="shared" ca="1" si="5"/>
        <v>45293</v>
      </c>
      <c r="C121" s="5" t="str" cm="1">
        <f t="array" aca="1" ref="C121" ca="1">INDEX({"S001","S002","S003","S004","S005"}, RANDBETWEEN(1,5))</f>
        <v>S003</v>
      </c>
      <c r="D121" s="5" t="str" cm="1">
        <f t="array" aca="1" ref="D121" ca="1">INDEX({"Mumbai","Delhi","Bangalore","Ahmedabad","Chennai"}, RANDBETWEEN(1,5))</f>
        <v>Chennai</v>
      </c>
      <c r="E121" s="5" t="str" cm="1">
        <f t="array" aca="1" ref="E121" ca="1">INDEX({"Electronics","Groceries","Furniture","Clothing","Stationery"}, RANDBETWEEN(1,5))</f>
        <v>Groceries</v>
      </c>
      <c r="F121" s="5" t="str">
        <f t="shared" ca="1" si="6"/>
        <v>Table</v>
      </c>
      <c r="G121" s="8">
        <f t="shared" ca="1" si="7"/>
        <v>81</v>
      </c>
      <c r="H121" s="10">
        <f t="shared" ca="1" si="8"/>
        <v>700</v>
      </c>
      <c r="I121" s="10">
        <f t="shared" ca="1" si="9"/>
        <v>56700</v>
      </c>
      <c r="J121" s="10">
        <f ca="1">Table2[[#This Row],[Unit Price]] * RANDBETWEEN(70,90)/100</f>
        <v>616</v>
      </c>
      <c r="K121" s="12">
        <f ca="1">(Table2[[#This Row],[Unit Price]] - Table2[[#This Row],[Cost per Unit]]) * Table2[[#This Row],[Units Sold]]</f>
        <v>6804</v>
      </c>
    </row>
    <row r="122" spans="1:11" ht="15.6" x14ac:dyDescent="0.3">
      <c r="A122" s="5" cm="1">
        <f t="array" ref="A122">1000 + ROW(122:122)</f>
        <v>1122</v>
      </c>
      <c r="B122" s="6">
        <f t="shared" ca="1" si="5"/>
        <v>45371</v>
      </c>
      <c r="C122" s="5" t="str" cm="1">
        <f t="array" aca="1" ref="C122" ca="1">INDEX({"S001","S002","S003","S004","S005"}, RANDBETWEEN(1,5))</f>
        <v>S005</v>
      </c>
      <c r="D122" s="5" t="str" cm="1">
        <f t="array" aca="1" ref="D122" ca="1">INDEX({"Mumbai","Delhi","Bangalore","Ahmedabad","Chennai"}, RANDBETWEEN(1,5))</f>
        <v>Bangalore</v>
      </c>
      <c r="E122" s="5" t="str" cm="1">
        <f t="array" aca="1" ref="E122" ca="1">INDEX({"Electronics","Groceries","Furniture","Clothing","Stationery"}, RANDBETWEEN(1,5))</f>
        <v>Electronics</v>
      </c>
      <c r="F122" s="5" t="str">
        <f t="shared" ca="1" si="6"/>
        <v>Office Chair</v>
      </c>
      <c r="G122" s="8">
        <f t="shared" ca="1" si="7"/>
        <v>70</v>
      </c>
      <c r="H122" s="10">
        <f t="shared" ca="1" si="8"/>
        <v>250</v>
      </c>
      <c r="I122" s="10">
        <f t="shared" ca="1" si="9"/>
        <v>17500</v>
      </c>
      <c r="J122" s="10">
        <f ca="1">Table2[[#This Row],[Unit Price]] * RANDBETWEEN(70,90)/100</f>
        <v>212.5</v>
      </c>
      <c r="K122" s="12">
        <f ca="1">(Table2[[#This Row],[Unit Price]] - Table2[[#This Row],[Cost per Unit]]) * Table2[[#This Row],[Units Sold]]</f>
        <v>2625</v>
      </c>
    </row>
    <row r="123" spans="1:11" ht="15.6" x14ac:dyDescent="0.3">
      <c r="A123" s="5" cm="1">
        <f t="array" ref="A123">1000 + ROW(123:123)</f>
        <v>1123</v>
      </c>
      <c r="B123" s="6">
        <f t="shared" ca="1" si="5"/>
        <v>45309</v>
      </c>
      <c r="C123" s="5" t="str" cm="1">
        <f t="array" aca="1" ref="C123" ca="1">INDEX({"S001","S002","S003","S004","S005"}, RANDBETWEEN(1,5))</f>
        <v>S002</v>
      </c>
      <c r="D123" s="5" t="str" cm="1">
        <f t="array" aca="1" ref="D123" ca="1">INDEX({"Mumbai","Delhi","Bangalore","Ahmedabad","Chennai"}, RANDBETWEEN(1,5))</f>
        <v>Delhi</v>
      </c>
      <c r="E123" s="5" t="str" cm="1">
        <f t="array" aca="1" ref="E123" ca="1">INDEX({"Electronics","Groceries","Furniture","Clothing","Stationery"}, RANDBETWEEN(1,5))</f>
        <v>Electronics</v>
      </c>
      <c r="F123" s="5" t="str">
        <f t="shared" ca="1" si="6"/>
        <v>Rice 5kg</v>
      </c>
      <c r="G123" s="8">
        <f t="shared" ca="1" si="7"/>
        <v>78</v>
      </c>
      <c r="H123" s="10">
        <f t="shared" ca="1" si="8"/>
        <v>900</v>
      </c>
      <c r="I123" s="10">
        <f t="shared" ca="1" si="9"/>
        <v>70200</v>
      </c>
      <c r="J123" s="10">
        <f ca="1">Table2[[#This Row],[Unit Price]] * RANDBETWEEN(70,90)/100</f>
        <v>756</v>
      </c>
      <c r="K123" s="12">
        <f ca="1">(Table2[[#This Row],[Unit Price]] - Table2[[#This Row],[Cost per Unit]]) * Table2[[#This Row],[Units Sold]]</f>
        <v>11232</v>
      </c>
    </row>
    <row r="124" spans="1:11" ht="15.6" x14ac:dyDescent="0.3">
      <c r="A124" s="5" cm="1">
        <f t="array" ref="A124">1000 + ROW(124:124)</f>
        <v>1124</v>
      </c>
      <c r="B124" s="6">
        <f t="shared" ca="1" si="5"/>
        <v>45372</v>
      </c>
      <c r="C124" s="5" t="str" cm="1">
        <f t="array" aca="1" ref="C124" ca="1">INDEX({"S001","S002","S003","S004","S005"}, RANDBETWEEN(1,5))</f>
        <v>S002</v>
      </c>
      <c r="D124" s="5" t="str" cm="1">
        <f t="array" aca="1" ref="D124" ca="1">INDEX({"Mumbai","Delhi","Bangalore","Ahmedabad","Chennai"}, RANDBETWEEN(1,5))</f>
        <v>Delhi</v>
      </c>
      <c r="E124" s="5" t="str" cm="1">
        <f t="array" aca="1" ref="E124" ca="1">INDEX({"Electronics","Groceries","Furniture","Clothing","Stationery"}, RANDBETWEEN(1,5))</f>
        <v>Furniture</v>
      </c>
      <c r="F124" s="5" t="str">
        <f t="shared" ca="1" si="6"/>
        <v>Table</v>
      </c>
      <c r="G124" s="8">
        <f t="shared" ca="1" si="7"/>
        <v>45</v>
      </c>
      <c r="H124" s="10">
        <f t="shared" ca="1" si="8"/>
        <v>300</v>
      </c>
      <c r="I124" s="10">
        <f t="shared" ca="1" si="9"/>
        <v>13500</v>
      </c>
      <c r="J124" s="10">
        <f ca="1">Table2[[#This Row],[Unit Price]] * RANDBETWEEN(70,90)/100</f>
        <v>249</v>
      </c>
      <c r="K124" s="12">
        <f ca="1">(Table2[[#This Row],[Unit Price]] - Table2[[#This Row],[Cost per Unit]]) * Table2[[#This Row],[Units Sold]]</f>
        <v>2295</v>
      </c>
    </row>
    <row r="125" spans="1:11" ht="15.6" x14ac:dyDescent="0.3">
      <c r="A125" s="5" cm="1">
        <f t="array" ref="A125">1000 + ROW(125:125)</f>
        <v>1125</v>
      </c>
      <c r="B125" s="6">
        <f t="shared" ca="1" si="5"/>
        <v>45355</v>
      </c>
      <c r="C125" s="5" t="str" cm="1">
        <f t="array" aca="1" ref="C125" ca="1">INDEX({"S001","S002","S003","S004","S005"}, RANDBETWEEN(1,5))</f>
        <v>S005</v>
      </c>
      <c r="D125" s="5" t="str" cm="1">
        <f t="array" aca="1" ref="D125" ca="1">INDEX({"Mumbai","Delhi","Bangalore","Ahmedabad","Chennai"}, RANDBETWEEN(1,5))</f>
        <v>Ahmedabad</v>
      </c>
      <c r="E125" s="5" t="str" cm="1">
        <f t="array" aca="1" ref="E125" ca="1">INDEX({"Electronics","Groceries","Furniture","Clothing","Stationery"}, RANDBETWEEN(1,5))</f>
        <v>Groceries</v>
      </c>
      <c r="F125" s="5" t="str">
        <f t="shared" ca="1" si="6"/>
        <v>Desk Lamp</v>
      </c>
      <c r="G125" s="8">
        <f t="shared" ca="1" si="7"/>
        <v>91</v>
      </c>
      <c r="H125" s="10">
        <f t="shared" ca="1" si="8"/>
        <v>250</v>
      </c>
      <c r="I125" s="10">
        <f t="shared" ca="1" si="9"/>
        <v>22750</v>
      </c>
      <c r="J125" s="10">
        <f ca="1">Table2[[#This Row],[Unit Price]] * RANDBETWEEN(70,90)/100</f>
        <v>212.5</v>
      </c>
      <c r="K125" s="12">
        <f ca="1">(Table2[[#This Row],[Unit Price]] - Table2[[#This Row],[Cost per Unit]]) * Table2[[#This Row],[Units Sold]]</f>
        <v>3412.5</v>
      </c>
    </row>
    <row r="126" spans="1:11" ht="15.6" x14ac:dyDescent="0.3">
      <c r="A126" s="5" cm="1">
        <f t="array" ref="A126">1000 + ROW(126:126)</f>
        <v>1126</v>
      </c>
      <c r="B126" s="6">
        <f t="shared" ca="1" si="5"/>
        <v>45363</v>
      </c>
      <c r="C126" s="5" t="str" cm="1">
        <f t="array" aca="1" ref="C126" ca="1">INDEX({"S001","S002","S003","S004","S005"}, RANDBETWEEN(1,5))</f>
        <v>S002</v>
      </c>
      <c r="D126" s="5" t="str" cm="1">
        <f t="array" aca="1" ref="D126" ca="1">INDEX({"Mumbai","Delhi","Bangalore","Ahmedabad","Chennai"}, RANDBETWEEN(1,5))</f>
        <v>Chennai</v>
      </c>
      <c r="E126" s="5" t="str" cm="1">
        <f t="array" aca="1" ref="E126" ca="1">INDEX({"Electronics","Groceries","Furniture","Clothing","Stationery"}, RANDBETWEEN(1,5))</f>
        <v>Stationery</v>
      </c>
      <c r="F126" s="5" t="str">
        <f t="shared" ca="1" si="6"/>
        <v>Notebook</v>
      </c>
      <c r="G126" s="8">
        <f t="shared" ca="1" si="7"/>
        <v>17</v>
      </c>
      <c r="H126" s="10">
        <f t="shared" ca="1" si="8"/>
        <v>700</v>
      </c>
      <c r="I126" s="10">
        <f t="shared" ca="1" si="9"/>
        <v>11900</v>
      </c>
      <c r="J126" s="10">
        <f ca="1">Table2[[#This Row],[Unit Price]] * RANDBETWEEN(70,90)/100</f>
        <v>497</v>
      </c>
      <c r="K126" s="12">
        <f ca="1">(Table2[[#This Row],[Unit Price]] - Table2[[#This Row],[Cost per Unit]]) * Table2[[#This Row],[Units Sold]]</f>
        <v>3451</v>
      </c>
    </row>
    <row r="127" spans="1:11" ht="15.6" x14ac:dyDescent="0.3">
      <c r="A127" s="5" cm="1">
        <f t="array" ref="A127">1000 + ROW(127:127)</f>
        <v>1127</v>
      </c>
      <c r="B127" s="6">
        <f t="shared" ca="1" si="5"/>
        <v>45304</v>
      </c>
      <c r="C127" s="5" t="str" cm="1">
        <f t="array" aca="1" ref="C127" ca="1">INDEX({"S001","S002","S003","S004","S005"}, RANDBETWEEN(1,5))</f>
        <v>S005</v>
      </c>
      <c r="D127" s="5" t="str" cm="1">
        <f t="array" aca="1" ref="D127" ca="1">INDEX({"Mumbai","Delhi","Bangalore","Ahmedabad","Chennai"}, RANDBETWEEN(1,5))</f>
        <v>Mumbai</v>
      </c>
      <c r="E127" s="5" t="str" cm="1">
        <f t="array" aca="1" ref="E127" ca="1">INDEX({"Electronics","Groceries","Furniture","Clothing","Stationery"}, RANDBETWEEN(1,5))</f>
        <v>Electronics</v>
      </c>
      <c r="F127" s="5" t="str">
        <f t="shared" ca="1" si="6"/>
        <v>Laptop</v>
      </c>
      <c r="G127" s="8">
        <f t="shared" ca="1" si="7"/>
        <v>49</v>
      </c>
      <c r="H127" s="10">
        <f t="shared" ca="1" si="8"/>
        <v>700</v>
      </c>
      <c r="I127" s="10">
        <f t="shared" ca="1" si="9"/>
        <v>34300</v>
      </c>
      <c r="J127" s="10">
        <f ca="1">Table2[[#This Row],[Unit Price]] * RANDBETWEEN(70,90)/100</f>
        <v>504</v>
      </c>
      <c r="K127" s="12">
        <f ca="1">(Table2[[#This Row],[Unit Price]] - Table2[[#This Row],[Cost per Unit]]) * Table2[[#This Row],[Units Sold]]</f>
        <v>9604</v>
      </c>
    </row>
    <row r="128" spans="1:11" ht="15.6" x14ac:dyDescent="0.3">
      <c r="A128" s="5" cm="1">
        <f t="array" ref="A128">1000 + ROW(128:128)</f>
        <v>1128</v>
      </c>
      <c r="B128" s="6">
        <f t="shared" ca="1" si="5"/>
        <v>45325</v>
      </c>
      <c r="C128" s="5" t="str" cm="1">
        <f t="array" aca="1" ref="C128" ca="1">INDEX({"S001","S002","S003","S004","S005"}, RANDBETWEEN(1,5))</f>
        <v>S002</v>
      </c>
      <c r="D128" s="5" t="str" cm="1">
        <f t="array" aca="1" ref="D128" ca="1">INDEX({"Mumbai","Delhi","Bangalore","Ahmedabad","Chennai"}, RANDBETWEEN(1,5))</f>
        <v>Delhi</v>
      </c>
      <c r="E128" s="5" t="str" cm="1">
        <f t="array" aca="1" ref="E128" ca="1">INDEX({"Electronics","Groceries","Furniture","Clothing","Stationery"}, RANDBETWEEN(1,5))</f>
        <v>Furniture</v>
      </c>
      <c r="F128" s="5" t="str">
        <f t="shared" ca="1" si="6"/>
        <v>Table</v>
      </c>
      <c r="G128" s="8">
        <f t="shared" ca="1" si="7"/>
        <v>49</v>
      </c>
      <c r="H128" s="10">
        <f t="shared" ca="1" si="8"/>
        <v>300</v>
      </c>
      <c r="I128" s="10">
        <f t="shared" ca="1" si="9"/>
        <v>14700</v>
      </c>
      <c r="J128" s="10">
        <f ca="1">Table2[[#This Row],[Unit Price]] * RANDBETWEEN(70,90)/100</f>
        <v>210</v>
      </c>
      <c r="K128" s="12">
        <f ca="1">(Table2[[#This Row],[Unit Price]] - Table2[[#This Row],[Cost per Unit]]) * Table2[[#This Row],[Units Sold]]</f>
        <v>4410</v>
      </c>
    </row>
    <row r="129" spans="1:11" ht="15.6" x14ac:dyDescent="0.3">
      <c r="A129" s="5" cm="1">
        <f t="array" ref="A129">1000 + ROW(129:129)</f>
        <v>1129</v>
      </c>
      <c r="B129" s="6">
        <f t="shared" ca="1" si="5"/>
        <v>45365</v>
      </c>
      <c r="C129" s="5" t="str" cm="1">
        <f t="array" aca="1" ref="C129" ca="1">INDEX({"S001","S002","S003","S004","S005"}, RANDBETWEEN(1,5))</f>
        <v>S002</v>
      </c>
      <c r="D129" s="5" t="str" cm="1">
        <f t="array" aca="1" ref="D129" ca="1">INDEX({"Mumbai","Delhi","Bangalore","Ahmedabad","Chennai"}, RANDBETWEEN(1,5))</f>
        <v>Chennai</v>
      </c>
      <c r="E129" s="5" t="str" cm="1">
        <f t="array" aca="1" ref="E129" ca="1">INDEX({"Electronics","Groceries","Furniture","Clothing","Stationery"}, RANDBETWEEN(1,5))</f>
        <v>Groceries</v>
      </c>
      <c r="F129" s="5" t="str">
        <f t="shared" ca="1" si="6"/>
        <v>Shampoo</v>
      </c>
      <c r="G129" s="8">
        <f t="shared" ca="1" si="7"/>
        <v>46</v>
      </c>
      <c r="H129" s="10">
        <f t="shared" ca="1" si="8"/>
        <v>1200</v>
      </c>
      <c r="I129" s="10">
        <f t="shared" ca="1" si="9"/>
        <v>55200</v>
      </c>
      <c r="J129" s="10">
        <f ca="1">Table2[[#This Row],[Unit Price]] * RANDBETWEEN(70,90)/100</f>
        <v>888</v>
      </c>
      <c r="K129" s="12">
        <f ca="1">(Table2[[#This Row],[Unit Price]] - Table2[[#This Row],[Cost per Unit]]) * Table2[[#This Row],[Units Sold]]</f>
        <v>14352</v>
      </c>
    </row>
    <row r="130" spans="1:11" ht="15.6" x14ac:dyDescent="0.3">
      <c r="A130" s="5" cm="1">
        <f t="array" ref="A130">1000 + ROW(130:130)</f>
        <v>1130</v>
      </c>
      <c r="B130" s="6">
        <f t="shared" ref="B130:B193" ca="1" si="10">RANDBETWEEN(DATE(2024,1,1), DATE(2024,3,31))</f>
        <v>45336</v>
      </c>
      <c r="C130" s="5" t="str" cm="1">
        <f t="array" aca="1" ref="C130" ca="1">INDEX({"S001","S002","S003","S004","S005"}, RANDBETWEEN(1,5))</f>
        <v>S005</v>
      </c>
      <c r="D130" s="5" t="str" cm="1">
        <f t="array" aca="1" ref="D130" ca="1">INDEX({"Mumbai","Delhi","Bangalore","Ahmedabad","Chennai"}, RANDBETWEEN(1,5))</f>
        <v>Ahmedabad</v>
      </c>
      <c r="E130" s="5" t="str" cm="1">
        <f t="array" aca="1" ref="E130" ca="1">INDEX({"Electronics","Groceries","Furniture","Clothing","Stationery"}, RANDBETWEEN(1,5))</f>
        <v>Furniture</v>
      </c>
      <c r="F130" s="5" t="str">
        <f t="shared" ref="F130:F193" ca="1" si="11">CHOOSE(RANDBETWEEN(1,10),
 "Smartphone","Laptop","Rice 5kg","Cooking Oil 1L",
 "Office Chair","Table","T-shirt","Notebook",
 "Desk Lamp","Shampoo")</f>
        <v>Smartphone</v>
      </c>
      <c r="G130" s="8">
        <f t="shared" ref="G130:G193" ca="1" si="12">RANDBETWEEN(1,100)</f>
        <v>60</v>
      </c>
      <c r="H130" s="10">
        <f t="shared" ref="H130:H193" ca="1" si="13">CHOOSE(RANDBETWEEN(1,10), 15000, 30000, 250, 500, 1200, 700, 300, 50, 900, 150)</f>
        <v>15000</v>
      </c>
      <c r="I130" s="10">
        <f t="shared" ref="I130:I193" ca="1" si="14">G130 * H130</f>
        <v>900000</v>
      </c>
      <c r="J130" s="10">
        <f ca="1">Table2[[#This Row],[Unit Price]] * RANDBETWEEN(70,90)/100</f>
        <v>11100</v>
      </c>
      <c r="K130" s="12">
        <f ca="1">(Table2[[#This Row],[Unit Price]] - Table2[[#This Row],[Cost per Unit]]) * Table2[[#This Row],[Units Sold]]</f>
        <v>234000</v>
      </c>
    </row>
    <row r="131" spans="1:11" ht="15.6" x14ac:dyDescent="0.3">
      <c r="A131" s="5" cm="1">
        <f t="array" ref="A131">1000 + ROW(131:131)</f>
        <v>1131</v>
      </c>
      <c r="B131" s="6">
        <f t="shared" ca="1" si="10"/>
        <v>45352</v>
      </c>
      <c r="C131" s="5" t="str" cm="1">
        <f t="array" aca="1" ref="C131" ca="1">INDEX({"S001","S002","S003","S004","S005"}, RANDBETWEEN(1,5))</f>
        <v>S001</v>
      </c>
      <c r="D131" s="5" t="str" cm="1">
        <f t="array" aca="1" ref="D131" ca="1">INDEX({"Mumbai","Delhi","Bangalore","Ahmedabad","Chennai"}, RANDBETWEEN(1,5))</f>
        <v>Ahmedabad</v>
      </c>
      <c r="E131" s="5" t="str" cm="1">
        <f t="array" aca="1" ref="E131" ca="1">INDEX({"Electronics","Groceries","Furniture","Clothing","Stationery"}, RANDBETWEEN(1,5))</f>
        <v>Clothing</v>
      </c>
      <c r="F131" s="5" t="str">
        <f t="shared" ca="1" si="11"/>
        <v>Rice 5kg</v>
      </c>
      <c r="G131" s="8">
        <f t="shared" ca="1" si="12"/>
        <v>38</v>
      </c>
      <c r="H131" s="10">
        <f t="shared" ca="1" si="13"/>
        <v>900</v>
      </c>
      <c r="I131" s="10">
        <f t="shared" ca="1" si="14"/>
        <v>34200</v>
      </c>
      <c r="J131" s="10">
        <f ca="1">Table2[[#This Row],[Unit Price]] * RANDBETWEEN(70,90)/100</f>
        <v>720</v>
      </c>
      <c r="K131" s="12">
        <f ca="1">(Table2[[#This Row],[Unit Price]] - Table2[[#This Row],[Cost per Unit]]) * Table2[[#This Row],[Units Sold]]</f>
        <v>6840</v>
      </c>
    </row>
    <row r="132" spans="1:11" ht="15.6" x14ac:dyDescent="0.3">
      <c r="A132" s="5" cm="1">
        <f t="array" ref="A132">1000 + ROW(132:132)</f>
        <v>1132</v>
      </c>
      <c r="B132" s="6">
        <f t="shared" ca="1" si="10"/>
        <v>45364</v>
      </c>
      <c r="C132" s="5" t="str" cm="1">
        <f t="array" aca="1" ref="C132" ca="1">INDEX({"S001","S002","S003","S004","S005"}, RANDBETWEEN(1,5))</f>
        <v>S003</v>
      </c>
      <c r="D132" s="5" t="str" cm="1">
        <f t="array" aca="1" ref="D132" ca="1">INDEX({"Mumbai","Delhi","Bangalore","Ahmedabad","Chennai"}, RANDBETWEEN(1,5))</f>
        <v>Chennai</v>
      </c>
      <c r="E132" s="5" t="str" cm="1">
        <f t="array" aca="1" ref="E132" ca="1">INDEX({"Electronics","Groceries","Furniture","Clothing","Stationery"}, RANDBETWEEN(1,5))</f>
        <v>Groceries</v>
      </c>
      <c r="F132" s="5" t="str">
        <f t="shared" ca="1" si="11"/>
        <v>Rice 5kg</v>
      </c>
      <c r="G132" s="8">
        <f t="shared" ca="1" si="12"/>
        <v>88</v>
      </c>
      <c r="H132" s="10">
        <f t="shared" ca="1" si="13"/>
        <v>30000</v>
      </c>
      <c r="I132" s="10">
        <f t="shared" ca="1" si="14"/>
        <v>2640000</v>
      </c>
      <c r="J132" s="10">
        <f ca="1">Table2[[#This Row],[Unit Price]] * RANDBETWEEN(70,90)/100</f>
        <v>24300</v>
      </c>
      <c r="K132" s="12">
        <f ca="1">(Table2[[#This Row],[Unit Price]] - Table2[[#This Row],[Cost per Unit]]) * Table2[[#This Row],[Units Sold]]</f>
        <v>501600</v>
      </c>
    </row>
    <row r="133" spans="1:11" ht="15.6" x14ac:dyDescent="0.3">
      <c r="A133" s="5" cm="1">
        <f t="array" ref="A133">1000 + ROW(133:133)</f>
        <v>1133</v>
      </c>
      <c r="B133" s="6">
        <f t="shared" ca="1" si="10"/>
        <v>45365</v>
      </c>
      <c r="C133" s="5" t="str" cm="1">
        <f t="array" aca="1" ref="C133" ca="1">INDEX({"S001","S002","S003","S004","S005"}, RANDBETWEEN(1,5))</f>
        <v>S005</v>
      </c>
      <c r="D133" s="5" t="str" cm="1">
        <f t="array" aca="1" ref="D133" ca="1">INDEX({"Mumbai","Delhi","Bangalore","Ahmedabad","Chennai"}, RANDBETWEEN(1,5))</f>
        <v>Ahmedabad</v>
      </c>
      <c r="E133" s="5" t="str" cm="1">
        <f t="array" aca="1" ref="E133" ca="1">INDEX({"Electronics","Groceries","Furniture","Clothing","Stationery"}, RANDBETWEEN(1,5))</f>
        <v>Electronics</v>
      </c>
      <c r="F133" s="5" t="str">
        <f t="shared" ca="1" si="11"/>
        <v>Shampoo</v>
      </c>
      <c r="G133" s="8">
        <f t="shared" ca="1" si="12"/>
        <v>49</v>
      </c>
      <c r="H133" s="10">
        <f t="shared" ca="1" si="13"/>
        <v>900</v>
      </c>
      <c r="I133" s="10">
        <f t="shared" ca="1" si="14"/>
        <v>44100</v>
      </c>
      <c r="J133" s="10">
        <f ca="1">Table2[[#This Row],[Unit Price]] * RANDBETWEEN(70,90)/100</f>
        <v>684</v>
      </c>
      <c r="K133" s="12">
        <f ca="1">(Table2[[#This Row],[Unit Price]] - Table2[[#This Row],[Cost per Unit]]) * Table2[[#This Row],[Units Sold]]</f>
        <v>10584</v>
      </c>
    </row>
    <row r="134" spans="1:11" ht="15.6" x14ac:dyDescent="0.3">
      <c r="A134" s="5" cm="1">
        <f t="array" ref="A134">1000 + ROW(134:134)</f>
        <v>1134</v>
      </c>
      <c r="B134" s="6">
        <f t="shared" ca="1" si="10"/>
        <v>45373</v>
      </c>
      <c r="C134" s="5" t="str" cm="1">
        <f t="array" aca="1" ref="C134" ca="1">INDEX({"S001","S002","S003","S004","S005"}, RANDBETWEEN(1,5))</f>
        <v>S001</v>
      </c>
      <c r="D134" s="5" t="str" cm="1">
        <f t="array" aca="1" ref="D134" ca="1">INDEX({"Mumbai","Delhi","Bangalore","Ahmedabad","Chennai"}, RANDBETWEEN(1,5))</f>
        <v>Delhi</v>
      </c>
      <c r="E134" s="5" t="str" cm="1">
        <f t="array" aca="1" ref="E134" ca="1">INDEX({"Electronics","Groceries","Furniture","Clothing","Stationery"}, RANDBETWEEN(1,5))</f>
        <v>Groceries</v>
      </c>
      <c r="F134" s="5" t="str">
        <f t="shared" ca="1" si="11"/>
        <v>Shampoo</v>
      </c>
      <c r="G134" s="8">
        <f t="shared" ca="1" si="12"/>
        <v>60</v>
      </c>
      <c r="H134" s="10">
        <f t="shared" ca="1" si="13"/>
        <v>700</v>
      </c>
      <c r="I134" s="10">
        <f t="shared" ca="1" si="14"/>
        <v>42000</v>
      </c>
      <c r="J134" s="10">
        <f ca="1">Table2[[#This Row],[Unit Price]] * RANDBETWEEN(70,90)/100</f>
        <v>546</v>
      </c>
      <c r="K134" s="12">
        <f ca="1">(Table2[[#This Row],[Unit Price]] - Table2[[#This Row],[Cost per Unit]]) * Table2[[#This Row],[Units Sold]]</f>
        <v>9240</v>
      </c>
    </row>
    <row r="135" spans="1:11" ht="15.6" x14ac:dyDescent="0.3">
      <c r="A135" s="5" cm="1">
        <f t="array" ref="A135">1000 + ROW(135:135)</f>
        <v>1135</v>
      </c>
      <c r="B135" s="6">
        <f t="shared" ca="1" si="10"/>
        <v>45314</v>
      </c>
      <c r="C135" s="5" t="str" cm="1">
        <f t="array" aca="1" ref="C135" ca="1">INDEX({"S001","S002","S003","S004","S005"}, RANDBETWEEN(1,5))</f>
        <v>S003</v>
      </c>
      <c r="D135" s="5" t="str" cm="1">
        <f t="array" aca="1" ref="D135" ca="1">INDEX({"Mumbai","Delhi","Bangalore","Ahmedabad","Chennai"}, RANDBETWEEN(1,5))</f>
        <v>Ahmedabad</v>
      </c>
      <c r="E135" s="5" t="str" cm="1">
        <f t="array" aca="1" ref="E135" ca="1">INDEX({"Electronics","Groceries","Furniture","Clothing","Stationery"}, RANDBETWEEN(1,5))</f>
        <v>Groceries</v>
      </c>
      <c r="F135" s="5" t="str">
        <f t="shared" ca="1" si="11"/>
        <v>Shampoo</v>
      </c>
      <c r="G135" s="8">
        <f t="shared" ca="1" si="12"/>
        <v>44</v>
      </c>
      <c r="H135" s="10">
        <f t="shared" ca="1" si="13"/>
        <v>30000</v>
      </c>
      <c r="I135" s="10">
        <f t="shared" ca="1" si="14"/>
        <v>1320000</v>
      </c>
      <c r="J135" s="10">
        <f ca="1">Table2[[#This Row],[Unit Price]] * RANDBETWEEN(70,90)/100</f>
        <v>22800</v>
      </c>
      <c r="K135" s="12">
        <f ca="1">(Table2[[#This Row],[Unit Price]] - Table2[[#This Row],[Cost per Unit]]) * Table2[[#This Row],[Units Sold]]</f>
        <v>316800</v>
      </c>
    </row>
    <row r="136" spans="1:11" ht="15.6" x14ac:dyDescent="0.3">
      <c r="A136" s="5" cm="1">
        <f t="array" ref="A136">1000 + ROW(136:136)</f>
        <v>1136</v>
      </c>
      <c r="B136" s="6">
        <f t="shared" ca="1" si="10"/>
        <v>45377</v>
      </c>
      <c r="C136" s="5" t="str" cm="1">
        <f t="array" aca="1" ref="C136" ca="1">INDEX({"S001","S002","S003","S004","S005"}, RANDBETWEEN(1,5))</f>
        <v>S004</v>
      </c>
      <c r="D136" s="5" t="str" cm="1">
        <f t="array" aca="1" ref="D136" ca="1">INDEX({"Mumbai","Delhi","Bangalore","Ahmedabad","Chennai"}, RANDBETWEEN(1,5))</f>
        <v>Delhi</v>
      </c>
      <c r="E136" s="5" t="str" cm="1">
        <f t="array" aca="1" ref="E136" ca="1">INDEX({"Electronics","Groceries","Furniture","Clothing","Stationery"}, RANDBETWEEN(1,5))</f>
        <v>Clothing</v>
      </c>
      <c r="F136" s="5" t="str">
        <f t="shared" ca="1" si="11"/>
        <v>Shampoo</v>
      </c>
      <c r="G136" s="8">
        <f t="shared" ca="1" si="12"/>
        <v>69</v>
      </c>
      <c r="H136" s="10">
        <f t="shared" ca="1" si="13"/>
        <v>500</v>
      </c>
      <c r="I136" s="10">
        <f t="shared" ca="1" si="14"/>
        <v>34500</v>
      </c>
      <c r="J136" s="10">
        <f ca="1">Table2[[#This Row],[Unit Price]] * RANDBETWEEN(70,90)/100</f>
        <v>430</v>
      </c>
      <c r="K136" s="12">
        <f ca="1">(Table2[[#This Row],[Unit Price]] - Table2[[#This Row],[Cost per Unit]]) * Table2[[#This Row],[Units Sold]]</f>
        <v>4830</v>
      </c>
    </row>
    <row r="137" spans="1:11" ht="15.6" x14ac:dyDescent="0.3">
      <c r="A137" s="5" cm="1">
        <f t="array" ref="A137">1000 + ROW(137:137)</f>
        <v>1137</v>
      </c>
      <c r="B137" s="6">
        <f t="shared" ca="1" si="10"/>
        <v>45343</v>
      </c>
      <c r="C137" s="5" t="str" cm="1">
        <f t="array" aca="1" ref="C137" ca="1">INDEX({"S001","S002","S003","S004","S005"}, RANDBETWEEN(1,5))</f>
        <v>S002</v>
      </c>
      <c r="D137" s="5" t="str" cm="1">
        <f t="array" aca="1" ref="D137" ca="1">INDEX({"Mumbai","Delhi","Bangalore","Ahmedabad","Chennai"}, RANDBETWEEN(1,5))</f>
        <v>Ahmedabad</v>
      </c>
      <c r="E137" s="5" t="str" cm="1">
        <f t="array" aca="1" ref="E137" ca="1">INDEX({"Electronics","Groceries","Furniture","Clothing","Stationery"}, RANDBETWEEN(1,5))</f>
        <v>Furniture</v>
      </c>
      <c r="F137" s="5" t="str">
        <f t="shared" ca="1" si="11"/>
        <v>Shampoo</v>
      </c>
      <c r="G137" s="8">
        <f t="shared" ca="1" si="12"/>
        <v>35</v>
      </c>
      <c r="H137" s="10">
        <f t="shared" ca="1" si="13"/>
        <v>250</v>
      </c>
      <c r="I137" s="10">
        <f t="shared" ca="1" si="14"/>
        <v>8750</v>
      </c>
      <c r="J137" s="10">
        <f ca="1">Table2[[#This Row],[Unit Price]] * RANDBETWEEN(70,90)/100</f>
        <v>197.5</v>
      </c>
      <c r="K137" s="12">
        <f ca="1">(Table2[[#This Row],[Unit Price]] - Table2[[#This Row],[Cost per Unit]]) * Table2[[#This Row],[Units Sold]]</f>
        <v>1837.5</v>
      </c>
    </row>
    <row r="138" spans="1:11" ht="15.6" x14ac:dyDescent="0.3">
      <c r="A138" s="5" cm="1">
        <f t="array" ref="A138">1000 + ROW(138:138)</f>
        <v>1138</v>
      </c>
      <c r="B138" s="6">
        <f t="shared" ca="1" si="10"/>
        <v>45335</v>
      </c>
      <c r="C138" s="5" t="str" cm="1">
        <f t="array" aca="1" ref="C138" ca="1">INDEX({"S001","S002","S003","S004","S005"}, RANDBETWEEN(1,5))</f>
        <v>S002</v>
      </c>
      <c r="D138" s="5" t="str" cm="1">
        <f t="array" aca="1" ref="D138" ca="1">INDEX({"Mumbai","Delhi","Bangalore","Ahmedabad","Chennai"}, RANDBETWEEN(1,5))</f>
        <v>Ahmedabad</v>
      </c>
      <c r="E138" s="5" t="str" cm="1">
        <f t="array" aca="1" ref="E138" ca="1">INDEX({"Electronics","Groceries","Furniture","Clothing","Stationery"}, RANDBETWEEN(1,5))</f>
        <v>Clothing</v>
      </c>
      <c r="F138" s="5" t="str">
        <f t="shared" ca="1" si="11"/>
        <v>Smartphone</v>
      </c>
      <c r="G138" s="8">
        <f t="shared" ca="1" si="12"/>
        <v>3</v>
      </c>
      <c r="H138" s="10">
        <f t="shared" ca="1" si="13"/>
        <v>15000</v>
      </c>
      <c r="I138" s="10">
        <f t="shared" ca="1" si="14"/>
        <v>45000</v>
      </c>
      <c r="J138" s="10">
        <f ca="1">Table2[[#This Row],[Unit Price]] * RANDBETWEEN(70,90)/100</f>
        <v>12600</v>
      </c>
      <c r="K138" s="12">
        <f ca="1">(Table2[[#This Row],[Unit Price]] - Table2[[#This Row],[Cost per Unit]]) * Table2[[#This Row],[Units Sold]]</f>
        <v>7200</v>
      </c>
    </row>
    <row r="139" spans="1:11" ht="15.6" x14ac:dyDescent="0.3">
      <c r="A139" s="5" cm="1">
        <f t="array" ref="A139">1000 + ROW(139:139)</f>
        <v>1139</v>
      </c>
      <c r="B139" s="6">
        <f t="shared" ca="1" si="10"/>
        <v>45326</v>
      </c>
      <c r="C139" s="5" t="str" cm="1">
        <f t="array" aca="1" ref="C139" ca="1">INDEX({"S001","S002","S003","S004","S005"}, RANDBETWEEN(1,5))</f>
        <v>S005</v>
      </c>
      <c r="D139" s="5" t="str" cm="1">
        <f t="array" aca="1" ref="D139" ca="1">INDEX({"Mumbai","Delhi","Bangalore","Ahmedabad","Chennai"}, RANDBETWEEN(1,5))</f>
        <v>Ahmedabad</v>
      </c>
      <c r="E139" s="5" t="str" cm="1">
        <f t="array" aca="1" ref="E139" ca="1">INDEX({"Electronics","Groceries","Furniture","Clothing","Stationery"}, RANDBETWEEN(1,5))</f>
        <v>Clothing</v>
      </c>
      <c r="F139" s="5" t="str">
        <f t="shared" ca="1" si="11"/>
        <v>Desk Lamp</v>
      </c>
      <c r="G139" s="8">
        <f t="shared" ca="1" si="12"/>
        <v>77</v>
      </c>
      <c r="H139" s="10">
        <f t="shared" ca="1" si="13"/>
        <v>300</v>
      </c>
      <c r="I139" s="10">
        <f t="shared" ca="1" si="14"/>
        <v>23100</v>
      </c>
      <c r="J139" s="10">
        <f ca="1">Table2[[#This Row],[Unit Price]] * RANDBETWEEN(70,90)/100</f>
        <v>237</v>
      </c>
      <c r="K139" s="12">
        <f ca="1">(Table2[[#This Row],[Unit Price]] - Table2[[#This Row],[Cost per Unit]]) * Table2[[#This Row],[Units Sold]]</f>
        <v>4851</v>
      </c>
    </row>
    <row r="140" spans="1:11" ht="15.6" x14ac:dyDescent="0.3">
      <c r="A140" s="5" cm="1">
        <f t="array" ref="A140">1000 + ROW(140:140)</f>
        <v>1140</v>
      </c>
      <c r="B140" s="6">
        <f t="shared" ca="1" si="10"/>
        <v>45355</v>
      </c>
      <c r="C140" s="5" t="str" cm="1">
        <f t="array" aca="1" ref="C140" ca="1">INDEX({"S001","S002","S003","S004","S005"}, RANDBETWEEN(1,5))</f>
        <v>S001</v>
      </c>
      <c r="D140" s="5" t="str" cm="1">
        <f t="array" aca="1" ref="D140" ca="1">INDEX({"Mumbai","Delhi","Bangalore","Ahmedabad","Chennai"}, RANDBETWEEN(1,5))</f>
        <v>Chennai</v>
      </c>
      <c r="E140" s="5" t="str" cm="1">
        <f t="array" aca="1" ref="E140" ca="1">INDEX({"Electronics","Groceries","Furniture","Clothing","Stationery"}, RANDBETWEEN(1,5))</f>
        <v>Electronics</v>
      </c>
      <c r="F140" s="5" t="str">
        <f t="shared" ca="1" si="11"/>
        <v>Rice 5kg</v>
      </c>
      <c r="G140" s="8">
        <f t="shared" ca="1" si="12"/>
        <v>24</v>
      </c>
      <c r="H140" s="10">
        <f t="shared" ca="1" si="13"/>
        <v>300</v>
      </c>
      <c r="I140" s="10">
        <f t="shared" ca="1" si="14"/>
        <v>7200</v>
      </c>
      <c r="J140" s="10">
        <f ca="1">Table2[[#This Row],[Unit Price]] * RANDBETWEEN(70,90)/100</f>
        <v>249</v>
      </c>
      <c r="K140" s="12">
        <f ca="1">(Table2[[#This Row],[Unit Price]] - Table2[[#This Row],[Cost per Unit]]) * Table2[[#This Row],[Units Sold]]</f>
        <v>1224</v>
      </c>
    </row>
    <row r="141" spans="1:11" ht="15.6" x14ac:dyDescent="0.3">
      <c r="A141" s="5" cm="1">
        <f t="array" ref="A141">1000 + ROW(141:141)</f>
        <v>1141</v>
      </c>
      <c r="B141" s="6">
        <f t="shared" ca="1" si="10"/>
        <v>45298</v>
      </c>
      <c r="C141" s="5" t="str" cm="1">
        <f t="array" aca="1" ref="C141" ca="1">INDEX({"S001","S002","S003","S004","S005"}, RANDBETWEEN(1,5))</f>
        <v>S004</v>
      </c>
      <c r="D141" s="5" t="str" cm="1">
        <f t="array" aca="1" ref="D141" ca="1">INDEX({"Mumbai","Delhi","Bangalore","Ahmedabad","Chennai"}, RANDBETWEEN(1,5))</f>
        <v>Ahmedabad</v>
      </c>
      <c r="E141" s="5" t="str" cm="1">
        <f t="array" aca="1" ref="E141" ca="1">INDEX({"Electronics","Groceries","Furniture","Clothing","Stationery"}, RANDBETWEEN(1,5))</f>
        <v>Groceries</v>
      </c>
      <c r="F141" s="5" t="str">
        <f t="shared" ca="1" si="11"/>
        <v>Table</v>
      </c>
      <c r="G141" s="8">
        <f t="shared" ca="1" si="12"/>
        <v>63</v>
      </c>
      <c r="H141" s="10">
        <f t="shared" ca="1" si="13"/>
        <v>15000</v>
      </c>
      <c r="I141" s="10">
        <f t="shared" ca="1" si="14"/>
        <v>945000</v>
      </c>
      <c r="J141" s="10">
        <f ca="1">Table2[[#This Row],[Unit Price]] * RANDBETWEEN(70,90)/100</f>
        <v>10650</v>
      </c>
      <c r="K141" s="12">
        <f ca="1">(Table2[[#This Row],[Unit Price]] - Table2[[#This Row],[Cost per Unit]]) * Table2[[#This Row],[Units Sold]]</f>
        <v>274050</v>
      </c>
    </row>
    <row r="142" spans="1:11" ht="15.6" x14ac:dyDescent="0.3">
      <c r="A142" s="5" cm="1">
        <f t="array" ref="A142">1000 + ROW(142:142)</f>
        <v>1142</v>
      </c>
      <c r="B142" s="6">
        <f t="shared" ca="1" si="10"/>
        <v>45299</v>
      </c>
      <c r="C142" s="5" t="str" cm="1">
        <f t="array" aca="1" ref="C142" ca="1">INDEX({"S001","S002","S003","S004","S005"}, RANDBETWEEN(1,5))</f>
        <v>S005</v>
      </c>
      <c r="D142" s="5" t="str" cm="1">
        <f t="array" aca="1" ref="D142" ca="1">INDEX({"Mumbai","Delhi","Bangalore","Ahmedabad","Chennai"}, RANDBETWEEN(1,5))</f>
        <v>Chennai</v>
      </c>
      <c r="E142" s="5" t="str" cm="1">
        <f t="array" aca="1" ref="E142" ca="1">INDEX({"Electronics","Groceries","Furniture","Clothing","Stationery"}, RANDBETWEEN(1,5))</f>
        <v>Clothing</v>
      </c>
      <c r="F142" s="5" t="str">
        <f t="shared" ca="1" si="11"/>
        <v>Table</v>
      </c>
      <c r="G142" s="8">
        <f t="shared" ca="1" si="12"/>
        <v>65</v>
      </c>
      <c r="H142" s="10">
        <f t="shared" ca="1" si="13"/>
        <v>50</v>
      </c>
      <c r="I142" s="10">
        <f t="shared" ca="1" si="14"/>
        <v>3250</v>
      </c>
      <c r="J142" s="10">
        <f ca="1">Table2[[#This Row],[Unit Price]] * RANDBETWEEN(70,90)/100</f>
        <v>40.5</v>
      </c>
      <c r="K142" s="12">
        <f ca="1">(Table2[[#This Row],[Unit Price]] - Table2[[#This Row],[Cost per Unit]]) * Table2[[#This Row],[Units Sold]]</f>
        <v>617.5</v>
      </c>
    </row>
    <row r="143" spans="1:11" ht="15.6" x14ac:dyDescent="0.3">
      <c r="A143" s="5" cm="1">
        <f t="array" ref="A143">1000 + ROW(143:143)</f>
        <v>1143</v>
      </c>
      <c r="B143" s="6">
        <f t="shared" ca="1" si="10"/>
        <v>45331</v>
      </c>
      <c r="C143" s="5" t="str" cm="1">
        <f t="array" aca="1" ref="C143" ca="1">INDEX({"S001","S002","S003","S004","S005"}, RANDBETWEEN(1,5))</f>
        <v>S005</v>
      </c>
      <c r="D143" s="5" t="str" cm="1">
        <f t="array" aca="1" ref="D143" ca="1">INDEX({"Mumbai","Delhi","Bangalore","Ahmedabad","Chennai"}, RANDBETWEEN(1,5))</f>
        <v>Mumbai</v>
      </c>
      <c r="E143" s="5" t="str" cm="1">
        <f t="array" aca="1" ref="E143" ca="1">INDEX({"Electronics","Groceries","Furniture","Clothing","Stationery"}, RANDBETWEEN(1,5))</f>
        <v>Furniture</v>
      </c>
      <c r="F143" s="5" t="str">
        <f t="shared" ca="1" si="11"/>
        <v>Smartphone</v>
      </c>
      <c r="G143" s="8">
        <f t="shared" ca="1" si="12"/>
        <v>39</v>
      </c>
      <c r="H143" s="10">
        <f t="shared" ca="1" si="13"/>
        <v>700</v>
      </c>
      <c r="I143" s="10">
        <f t="shared" ca="1" si="14"/>
        <v>27300</v>
      </c>
      <c r="J143" s="10">
        <f ca="1">Table2[[#This Row],[Unit Price]] * RANDBETWEEN(70,90)/100</f>
        <v>616</v>
      </c>
      <c r="K143" s="12">
        <f ca="1">(Table2[[#This Row],[Unit Price]] - Table2[[#This Row],[Cost per Unit]]) * Table2[[#This Row],[Units Sold]]</f>
        <v>3276</v>
      </c>
    </row>
    <row r="144" spans="1:11" ht="15.6" x14ac:dyDescent="0.3">
      <c r="A144" s="5" cm="1">
        <f t="array" ref="A144">1000 + ROW(144:144)</f>
        <v>1144</v>
      </c>
      <c r="B144" s="6">
        <f t="shared" ca="1" si="10"/>
        <v>45376</v>
      </c>
      <c r="C144" s="5" t="str" cm="1">
        <f t="array" aca="1" ref="C144" ca="1">INDEX({"S001","S002","S003","S004","S005"}, RANDBETWEEN(1,5))</f>
        <v>S005</v>
      </c>
      <c r="D144" s="5" t="str" cm="1">
        <f t="array" aca="1" ref="D144" ca="1">INDEX({"Mumbai","Delhi","Bangalore","Ahmedabad","Chennai"}, RANDBETWEEN(1,5))</f>
        <v>Ahmedabad</v>
      </c>
      <c r="E144" s="5" t="str" cm="1">
        <f t="array" aca="1" ref="E144" ca="1">INDEX({"Electronics","Groceries","Furniture","Clothing","Stationery"}, RANDBETWEEN(1,5))</f>
        <v>Stationery</v>
      </c>
      <c r="F144" s="5" t="str">
        <f t="shared" ca="1" si="11"/>
        <v>Rice 5kg</v>
      </c>
      <c r="G144" s="8">
        <f t="shared" ca="1" si="12"/>
        <v>83</v>
      </c>
      <c r="H144" s="10">
        <f t="shared" ca="1" si="13"/>
        <v>700</v>
      </c>
      <c r="I144" s="10">
        <f t="shared" ca="1" si="14"/>
        <v>58100</v>
      </c>
      <c r="J144" s="10">
        <f ca="1">Table2[[#This Row],[Unit Price]] * RANDBETWEEN(70,90)/100</f>
        <v>518</v>
      </c>
      <c r="K144" s="12">
        <f ca="1">(Table2[[#This Row],[Unit Price]] - Table2[[#This Row],[Cost per Unit]]) * Table2[[#This Row],[Units Sold]]</f>
        <v>15106</v>
      </c>
    </row>
    <row r="145" spans="1:11" ht="15.6" x14ac:dyDescent="0.3">
      <c r="A145" s="5" cm="1">
        <f t="array" ref="A145">1000 + ROW(145:145)</f>
        <v>1145</v>
      </c>
      <c r="B145" s="6">
        <f t="shared" ca="1" si="10"/>
        <v>45310</v>
      </c>
      <c r="C145" s="5" t="str" cm="1">
        <f t="array" aca="1" ref="C145" ca="1">INDEX({"S001","S002","S003","S004","S005"}, RANDBETWEEN(1,5))</f>
        <v>S003</v>
      </c>
      <c r="D145" s="5" t="str" cm="1">
        <f t="array" aca="1" ref="D145" ca="1">INDEX({"Mumbai","Delhi","Bangalore","Ahmedabad","Chennai"}, RANDBETWEEN(1,5))</f>
        <v>Mumbai</v>
      </c>
      <c r="E145" s="5" t="str" cm="1">
        <f t="array" aca="1" ref="E145" ca="1">INDEX({"Electronics","Groceries","Furniture","Clothing","Stationery"}, RANDBETWEEN(1,5))</f>
        <v>Electronics</v>
      </c>
      <c r="F145" s="5" t="str">
        <f t="shared" ca="1" si="11"/>
        <v>Desk Lamp</v>
      </c>
      <c r="G145" s="8">
        <f t="shared" ca="1" si="12"/>
        <v>48</v>
      </c>
      <c r="H145" s="10">
        <f t="shared" ca="1" si="13"/>
        <v>15000</v>
      </c>
      <c r="I145" s="10">
        <f t="shared" ca="1" si="14"/>
        <v>720000</v>
      </c>
      <c r="J145" s="10">
        <f ca="1">Table2[[#This Row],[Unit Price]] * RANDBETWEEN(70,90)/100</f>
        <v>12450</v>
      </c>
      <c r="K145" s="12">
        <f ca="1">(Table2[[#This Row],[Unit Price]] - Table2[[#This Row],[Cost per Unit]]) * Table2[[#This Row],[Units Sold]]</f>
        <v>122400</v>
      </c>
    </row>
    <row r="146" spans="1:11" ht="15.6" x14ac:dyDescent="0.3">
      <c r="A146" s="5" cm="1">
        <f t="array" ref="A146">1000 + ROW(146:146)</f>
        <v>1146</v>
      </c>
      <c r="B146" s="6">
        <f t="shared" ca="1" si="10"/>
        <v>45294</v>
      </c>
      <c r="C146" s="5" t="str" cm="1">
        <f t="array" aca="1" ref="C146" ca="1">INDEX({"S001","S002","S003","S004","S005"}, RANDBETWEEN(1,5))</f>
        <v>S001</v>
      </c>
      <c r="D146" s="5" t="str" cm="1">
        <f t="array" aca="1" ref="D146" ca="1">INDEX({"Mumbai","Delhi","Bangalore","Ahmedabad","Chennai"}, RANDBETWEEN(1,5))</f>
        <v>Ahmedabad</v>
      </c>
      <c r="E146" s="5" t="str" cm="1">
        <f t="array" aca="1" ref="E146" ca="1">INDEX({"Electronics","Groceries","Furniture","Clothing","Stationery"}, RANDBETWEEN(1,5))</f>
        <v>Groceries</v>
      </c>
      <c r="F146" s="5" t="str">
        <f t="shared" ca="1" si="11"/>
        <v>Smartphone</v>
      </c>
      <c r="G146" s="8">
        <f t="shared" ca="1" si="12"/>
        <v>36</v>
      </c>
      <c r="H146" s="10">
        <f t="shared" ca="1" si="13"/>
        <v>30000</v>
      </c>
      <c r="I146" s="10">
        <f t="shared" ca="1" si="14"/>
        <v>1080000</v>
      </c>
      <c r="J146" s="10">
        <f ca="1">Table2[[#This Row],[Unit Price]] * RANDBETWEEN(70,90)/100</f>
        <v>21900</v>
      </c>
      <c r="K146" s="12">
        <f ca="1">(Table2[[#This Row],[Unit Price]] - Table2[[#This Row],[Cost per Unit]]) * Table2[[#This Row],[Units Sold]]</f>
        <v>291600</v>
      </c>
    </row>
    <row r="147" spans="1:11" ht="15.6" x14ac:dyDescent="0.3">
      <c r="A147" s="5" cm="1">
        <f t="array" ref="A147">1000 + ROW(147:147)</f>
        <v>1147</v>
      </c>
      <c r="B147" s="6">
        <f t="shared" ca="1" si="10"/>
        <v>45327</v>
      </c>
      <c r="C147" s="5" t="str" cm="1">
        <f t="array" aca="1" ref="C147" ca="1">INDEX({"S001","S002","S003","S004","S005"}, RANDBETWEEN(1,5))</f>
        <v>S004</v>
      </c>
      <c r="D147" s="5" t="str" cm="1">
        <f t="array" aca="1" ref="D147" ca="1">INDEX({"Mumbai","Delhi","Bangalore","Ahmedabad","Chennai"}, RANDBETWEEN(1,5))</f>
        <v>Ahmedabad</v>
      </c>
      <c r="E147" s="5" t="str" cm="1">
        <f t="array" aca="1" ref="E147" ca="1">INDEX({"Electronics","Groceries","Furniture","Clothing","Stationery"}, RANDBETWEEN(1,5))</f>
        <v>Groceries</v>
      </c>
      <c r="F147" s="5" t="str">
        <f t="shared" ca="1" si="11"/>
        <v>Table</v>
      </c>
      <c r="G147" s="8">
        <f t="shared" ca="1" si="12"/>
        <v>18</v>
      </c>
      <c r="H147" s="10">
        <f t="shared" ca="1" si="13"/>
        <v>300</v>
      </c>
      <c r="I147" s="10">
        <f t="shared" ca="1" si="14"/>
        <v>5400</v>
      </c>
      <c r="J147" s="10">
        <f ca="1">Table2[[#This Row],[Unit Price]] * RANDBETWEEN(70,90)/100</f>
        <v>228</v>
      </c>
      <c r="K147" s="12">
        <f ca="1">(Table2[[#This Row],[Unit Price]] - Table2[[#This Row],[Cost per Unit]]) * Table2[[#This Row],[Units Sold]]</f>
        <v>1296</v>
      </c>
    </row>
    <row r="148" spans="1:11" ht="15.6" x14ac:dyDescent="0.3">
      <c r="A148" s="5" cm="1">
        <f t="array" ref="A148">1000 + ROW(148:148)</f>
        <v>1148</v>
      </c>
      <c r="B148" s="6">
        <f t="shared" ca="1" si="10"/>
        <v>45333</v>
      </c>
      <c r="C148" s="5" t="str" cm="1">
        <f t="array" aca="1" ref="C148" ca="1">INDEX({"S001","S002","S003","S004","S005"}, RANDBETWEEN(1,5))</f>
        <v>S001</v>
      </c>
      <c r="D148" s="5" t="str" cm="1">
        <f t="array" aca="1" ref="D148" ca="1">INDEX({"Mumbai","Delhi","Bangalore","Ahmedabad","Chennai"}, RANDBETWEEN(1,5))</f>
        <v>Delhi</v>
      </c>
      <c r="E148" s="5" t="str" cm="1">
        <f t="array" aca="1" ref="E148" ca="1">INDEX({"Electronics","Groceries","Furniture","Clothing","Stationery"}, RANDBETWEEN(1,5))</f>
        <v>Stationery</v>
      </c>
      <c r="F148" s="5" t="str">
        <f t="shared" ca="1" si="11"/>
        <v>Shampoo</v>
      </c>
      <c r="G148" s="8">
        <f t="shared" ca="1" si="12"/>
        <v>97</v>
      </c>
      <c r="H148" s="10">
        <f t="shared" ca="1" si="13"/>
        <v>900</v>
      </c>
      <c r="I148" s="10">
        <f t="shared" ca="1" si="14"/>
        <v>87300</v>
      </c>
      <c r="J148" s="10">
        <f ca="1">Table2[[#This Row],[Unit Price]] * RANDBETWEEN(70,90)/100</f>
        <v>639</v>
      </c>
      <c r="K148" s="12">
        <f ca="1">(Table2[[#This Row],[Unit Price]] - Table2[[#This Row],[Cost per Unit]]) * Table2[[#This Row],[Units Sold]]</f>
        <v>25317</v>
      </c>
    </row>
    <row r="149" spans="1:11" ht="15.6" x14ac:dyDescent="0.3">
      <c r="A149" s="5" cm="1">
        <f t="array" ref="A149">1000 + ROW(149:149)</f>
        <v>1149</v>
      </c>
      <c r="B149" s="6">
        <f t="shared" ca="1" si="10"/>
        <v>45300</v>
      </c>
      <c r="C149" s="5" t="str" cm="1">
        <f t="array" aca="1" ref="C149" ca="1">INDEX({"S001","S002","S003","S004","S005"}, RANDBETWEEN(1,5))</f>
        <v>S003</v>
      </c>
      <c r="D149" s="5" t="str" cm="1">
        <f t="array" aca="1" ref="D149" ca="1">INDEX({"Mumbai","Delhi","Bangalore","Ahmedabad","Chennai"}, RANDBETWEEN(1,5))</f>
        <v>Chennai</v>
      </c>
      <c r="E149" s="5" t="str" cm="1">
        <f t="array" aca="1" ref="E149" ca="1">INDEX({"Electronics","Groceries","Furniture","Clothing","Stationery"}, RANDBETWEEN(1,5))</f>
        <v>Electronics</v>
      </c>
      <c r="F149" s="5" t="str">
        <f t="shared" ca="1" si="11"/>
        <v>Cooking Oil 1L</v>
      </c>
      <c r="G149" s="8">
        <f t="shared" ca="1" si="12"/>
        <v>20</v>
      </c>
      <c r="H149" s="10">
        <f t="shared" ca="1" si="13"/>
        <v>900</v>
      </c>
      <c r="I149" s="10">
        <f t="shared" ca="1" si="14"/>
        <v>18000</v>
      </c>
      <c r="J149" s="10">
        <f ca="1">Table2[[#This Row],[Unit Price]] * RANDBETWEEN(70,90)/100</f>
        <v>729</v>
      </c>
      <c r="K149" s="12">
        <f ca="1">(Table2[[#This Row],[Unit Price]] - Table2[[#This Row],[Cost per Unit]]) * Table2[[#This Row],[Units Sold]]</f>
        <v>3420</v>
      </c>
    </row>
    <row r="150" spans="1:11" ht="15.6" x14ac:dyDescent="0.3">
      <c r="A150" s="5" cm="1">
        <f t="array" ref="A150">1000 + ROW(150:150)</f>
        <v>1150</v>
      </c>
      <c r="B150" s="6">
        <f t="shared" ca="1" si="10"/>
        <v>45358</v>
      </c>
      <c r="C150" s="5" t="str" cm="1">
        <f t="array" aca="1" ref="C150" ca="1">INDEX({"S001","S002","S003","S004","S005"}, RANDBETWEEN(1,5))</f>
        <v>S001</v>
      </c>
      <c r="D150" s="5" t="str" cm="1">
        <f t="array" aca="1" ref="D150" ca="1">INDEX({"Mumbai","Delhi","Bangalore","Ahmedabad","Chennai"}, RANDBETWEEN(1,5))</f>
        <v>Delhi</v>
      </c>
      <c r="E150" s="5" t="str" cm="1">
        <f t="array" aca="1" ref="E150" ca="1">INDEX({"Electronics","Groceries","Furniture","Clothing","Stationery"}, RANDBETWEEN(1,5))</f>
        <v>Groceries</v>
      </c>
      <c r="F150" s="5" t="str">
        <f t="shared" ca="1" si="11"/>
        <v>Notebook</v>
      </c>
      <c r="G150" s="8">
        <f t="shared" ca="1" si="12"/>
        <v>27</v>
      </c>
      <c r="H150" s="10">
        <f t="shared" ca="1" si="13"/>
        <v>150</v>
      </c>
      <c r="I150" s="10">
        <f t="shared" ca="1" si="14"/>
        <v>4050</v>
      </c>
      <c r="J150" s="10">
        <f ca="1">Table2[[#This Row],[Unit Price]] * RANDBETWEEN(70,90)/100</f>
        <v>127.5</v>
      </c>
      <c r="K150" s="12">
        <f ca="1">(Table2[[#This Row],[Unit Price]] - Table2[[#This Row],[Cost per Unit]]) * Table2[[#This Row],[Units Sold]]</f>
        <v>607.5</v>
      </c>
    </row>
    <row r="151" spans="1:11" ht="15.6" x14ac:dyDescent="0.3">
      <c r="A151" s="5" cm="1">
        <f t="array" ref="A151">1000 + ROW(151:151)</f>
        <v>1151</v>
      </c>
      <c r="B151" s="6">
        <f t="shared" ca="1" si="10"/>
        <v>45354</v>
      </c>
      <c r="C151" s="5" t="str" cm="1">
        <f t="array" aca="1" ref="C151" ca="1">INDEX({"S001","S002","S003","S004","S005"}, RANDBETWEEN(1,5))</f>
        <v>S002</v>
      </c>
      <c r="D151" s="5" t="str" cm="1">
        <f t="array" aca="1" ref="D151" ca="1">INDEX({"Mumbai","Delhi","Bangalore","Ahmedabad","Chennai"}, RANDBETWEEN(1,5))</f>
        <v>Ahmedabad</v>
      </c>
      <c r="E151" s="5" t="str" cm="1">
        <f t="array" aca="1" ref="E151" ca="1">INDEX({"Electronics","Groceries","Furniture","Clothing","Stationery"}, RANDBETWEEN(1,5))</f>
        <v>Furniture</v>
      </c>
      <c r="F151" s="5" t="str">
        <f t="shared" ca="1" si="11"/>
        <v>Office Chair</v>
      </c>
      <c r="G151" s="8">
        <f t="shared" ca="1" si="12"/>
        <v>4</v>
      </c>
      <c r="H151" s="10">
        <f t="shared" ca="1" si="13"/>
        <v>30000</v>
      </c>
      <c r="I151" s="10">
        <f t="shared" ca="1" si="14"/>
        <v>120000</v>
      </c>
      <c r="J151" s="10">
        <f ca="1">Table2[[#This Row],[Unit Price]] * RANDBETWEEN(70,90)/100</f>
        <v>26700</v>
      </c>
      <c r="K151" s="12">
        <f ca="1">(Table2[[#This Row],[Unit Price]] - Table2[[#This Row],[Cost per Unit]]) * Table2[[#This Row],[Units Sold]]</f>
        <v>13200</v>
      </c>
    </row>
    <row r="152" spans="1:11" ht="15.6" x14ac:dyDescent="0.3">
      <c r="A152" s="5" cm="1">
        <f t="array" ref="A152">1000 + ROW(152:152)</f>
        <v>1152</v>
      </c>
      <c r="B152" s="6">
        <f t="shared" ca="1" si="10"/>
        <v>45372</v>
      </c>
      <c r="C152" s="5" t="str" cm="1">
        <f t="array" aca="1" ref="C152" ca="1">INDEX({"S001","S002","S003","S004","S005"}, RANDBETWEEN(1,5))</f>
        <v>S004</v>
      </c>
      <c r="D152" s="5" t="str" cm="1">
        <f t="array" aca="1" ref="D152" ca="1">INDEX({"Mumbai","Delhi","Bangalore","Ahmedabad","Chennai"}, RANDBETWEEN(1,5))</f>
        <v>Bangalore</v>
      </c>
      <c r="E152" s="5" t="str" cm="1">
        <f t="array" aca="1" ref="E152" ca="1">INDEX({"Electronics","Groceries","Furniture","Clothing","Stationery"}, RANDBETWEEN(1,5))</f>
        <v>Clothing</v>
      </c>
      <c r="F152" s="5" t="str">
        <f t="shared" ca="1" si="11"/>
        <v>Office Chair</v>
      </c>
      <c r="G152" s="8">
        <f t="shared" ca="1" si="12"/>
        <v>33</v>
      </c>
      <c r="H152" s="10">
        <f t="shared" ca="1" si="13"/>
        <v>1200</v>
      </c>
      <c r="I152" s="10">
        <f t="shared" ca="1" si="14"/>
        <v>39600</v>
      </c>
      <c r="J152" s="10">
        <f ca="1">Table2[[#This Row],[Unit Price]] * RANDBETWEEN(70,90)/100</f>
        <v>1020</v>
      </c>
      <c r="K152" s="12">
        <f ca="1">(Table2[[#This Row],[Unit Price]] - Table2[[#This Row],[Cost per Unit]]) * Table2[[#This Row],[Units Sold]]</f>
        <v>5940</v>
      </c>
    </row>
    <row r="153" spans="1:11" ht="15.6" x14ac:dyDescent="0.3">
      <c r="A153" s="5" cm="1">
        <f t="array" ref="A153">1000 + ROW(153:153)</f>
        <v>1153</v>
      </c>
      <c r="B153" s="6">
        <f t="shared" ca="1" si="10"/>
        <v>45350</v>
      </c>
      <c r="C153" s="5" t="str" cm="1">
        <f t="array" aca="1" ref="C153" ca="1">INDEX({"S001","S002","S003","S004","S005"}, RANDBETWEEN(1,5))</f>
        <v>S002</v>
      </c>
      <c r="D153" s="5" t="str" cm="1">
        <f t="array" aca="1" ref="D153" ca="1">INDEX({"Mumbai","Delhi","Bangalore","Ahmedabad","Chennai"}, RANDBETWEEN(1,5))</f>
        <v>Delhi</v>
      </c>
      <c r="E153" s="5" t="str" cm="1">
        <f t="array" aca="1" ref="E153" ca="1">INDEX({"Electronics","Groceries","Furniture","Clothing","Stationery"}, RANDBETWEEN(1,5))</f>
        <v>Electronics</v>
      </c>
      <c r="F153" s="5" t="str">
        <f t="shared" ca="1" si="11"/>
        <v>T-shirt</v>
      </c>
      <c r="G153" s="8">
        <f t="shared" ca="1" si="12"/>
        <v>25</v>
      </c>
      <c r="H153" s="10">
        <f t="shared" ca="1" si="13"/>
        <v>900</v>
      </c>
      <c r="I153" s="10">
        <f t="shared" ca="1" si="14"/>
        <v>22500</v>
      </c>
      <c r="J153" s="10">
        <f ca="1">Table2[[#This Row],[Unit Price]] * RANDBETWEEN(70,90)/100</f>
        <v>756</v>
      </c>
      <c r="K153" s="12">
        <f ca="1">(Table2[[#This Row],[Unit Price]] - Table2[[#This Row],[Cost per Unit]]) * Table2[[#This Row],[Units Sold]]</f>
        <v>3600</v>
      </c>
    </row>
    <row r="154" spans="1:11" ht="15.6" x14ac:dyDescent="0.3">
      <c r="A154" s="5" cm="1">
        <f t="array" ref="A154">1000 + ROW(154:154)</f>
        <v>1154</v>
      </c>
      <c r="B154" s="6">
        <f t="shared" ca="1" si="10"/>
        <v>45294</v>
      </c>
      <c r="C154" s="5" t="str" cm="1">
        <f t="array" aca="1" ref="C154" ca="1">INDEX({"S001","S002","S003","S004","S005"}, RANDBETWEEN(1,5))</f>
        <v>S005</v>
      </c>
      <c r="D154" s="5" t="str" cm="1">
        <f t="array" aca="1" ref="D154" ca="1">INDEX({"Mumbai","Delhi","Bangalore","Ahmedabad","Chennai"}, RANDBETWEEN(1,5))</f>
        <v>Ahmedabad</v>
      </c>
      <c r="E154" s="5" t="str" cm="1">
        <f t="array" aca="1" ref="E154" ca="1">INDEX({"Electronics","Groceries","Furniture","Clothing","Stationery"}, RANDBETWEEN(1,5))</f>
        <v>Electronics</v>
      </c>
      <c r="F154" s="5" t="str">
        <f t="shared" ca="1" si="11"/>
        <v>Table</v>
      </c>
      <c r="G154" s="8">
        <f t="shared" ca="1" si="12"/>
        <v>83</v>
      </c>
      <c r="H154" s="10">
        <f t="shared" ca="1" si="13"/>
        <v>900</v>
      </c>
      <c r="I154" s="10">
        <f t="shared" ca="1" si="14"/>
        <v>74700</v>
      </c>
      <c r="J154" s="10">
        <f ca="1">Table2[[#This Row],[Unit Price]] * RANDBETWEEN(70,90)/100</f>
        <v>684</v>
      </c>
      <c r="K154" s="12">
        <f ca="1">(Table2[[#This Row],[Unit Price]] - Table2[[#This Row],[Cost per Unit]]) * Table2[[#This Row],[Units Sold]]</f>
        <v>17928</v>
      </c>
    </row>
    <row r="155" spans="1:11" ht="15.6" x14ac:dyDescent="0.3">
      <c r="A155" s="5" cm="1">
        <f t="array" ref="A155">1000 + ROW(155:155)</f>
        <v>1155</v>
      </c>
      <c r="B155" s="6">
        <f t="shared" ca="1" si="10"/>
        <v>45366</v>
      </c>
      <c r="C155" s="5" t="str" cm="1">
        <f t="array" aca="1" ref="C155" ca="1">INDEX({"S001","S002","S003","S004","S005"}, RANDBETWEEN(1,5))</f>
        <v>S003</v>
      </c>
      <c r="D155" s="5" t="str" cm="1">
        <f t="array" aca="1" ref="D155" ca="1">INDEX({"Mumbai","Delhi","Bangalore","Ahmedabad","Chennai"}, RANDBETWEEN(1,5))</f>
        <v>Ahmedabad</v>
      </c>
      <c r="E155" s="5" t="str" cm="1">
        <f t="array" aca="1" ref="E155" ca="1">INDEX({"Electronics","Groceries","Furniture","Clothing","Stationery"}, RANDBETWEEN(1,5))</f>
        <v>Stationery</v>
      </c>
      <c r="F155" s="5" t="str">
        <f t="shared" ca="1" si="11"/>
        <v>Office Chair</v>
      </c>
      <c r="G155" s="8">
        <f t="shared" ca="1" si="12"/>
        <v>17</v>
      </c>
      <c r="H155" s="10">
        <f t="shared" ca="1" si="13"/>
        <v>30000</v>
      </c>
      <c r="I155" s="10">
        <f t="shared" ca="1" si="14"/>
        <v>510000</v>
      </c>
      <c r="J155" s="10">
        <f ca="1">Table2[[#This Row],[Unit Price]] * RANDBETWEEN(70,90)/100</f>
        <v>24300</v>
      </c>
      <c r="K155" s="12">
        <f ca="1">(Table2[[#This Row],[Unit Price]] - Table2[[#This Row],[Cost per Unit]]) * Table2[[#This Row],[Units Sold]]</f>
        <v>96900</v>
      </c>
    </row>
    <row r="156" spans="1:11" ht="15.6" x14ac:dyDescent="0.3">
      <c r="A156" s="5" cm="1">
        <f t="array" ref="A156">1000 + ROW(156:156)</f>
        <v>1156</v>
      </c>
      <c r="B156" s="6">
        <f t="shared" ca="1" si="10"/>
        <v>45337</v>
      </c>
      <c r="C156" s="5" t="str" cm="1">
        <f t="array" aca="1" ref="C156" ca="1">INDEX({"S001","S002","S003","S004","S005"}, RANDBETWEEN(1,5))</f>
        <v>S002</v>
      </c>
      <c r="D156" s="5" t="str" cm="1">
        <f t="array" aca="1" ref="D156" ca="1">INDEX({"Mumbai","Delhi","Bangalore","Ahmedabad","Chennai"}, RANDBETWEEN(1,5))</f>
        <v>Delhi</v>
      </c>
      <c r="E156" s="5" t="str" cm="1">
        <f t="array" aca="1" ref="E156" ca="1">INDEX({"Electronics","Groceries","Furniture","Clothing","Stationery"}, RANDBETWEEN(1,5))</f>
        <v>Clothing</v>
      </c>
      <c r="F156" s="5" t="str">
        <f t="shared" ca="1" si="11"/>
        <v>Notebook</v>
      </c>
      <c r="G156" s="8">
        <f t="shared" ca="1" si="12"/>
        <v>59</v>
      </c>
      <c r="H156" s="10">
        <f t="shared" ca="1" si="13"/>
        <v>30000</v>
      </c>
      <c r="I156" s="10">
        <f t="shared" ca="1" si="14"/>
        <v>1770000</v>
      </c>
      <c r="J156" s="10">
        <f ca="1">Table2[[#This Row],[Unit Price]] * RANDBETWEEN(70,90)/100</f>
        <v>23700</v>
      </c>
      <c r="K156" s="12">
        <f ca="1">(Table2[[#This Row],[Unit Price]] - Table2[[#This Row],[Cost per Unit]]) * Table2[[#This Row],[Units Sold]]</f>
        <v>371700</v>
      </c>
    </row>
    <row r="157" spans="1:11" ht="15.6" x14ac:dyDescent="0.3">
      <c r="A157" s="5" cm="1">
        <f t="array" ref="A157">1000 + ROW(157:157)</f>
        <v>1157</v>
      </c>
      <c r="B157" s="6">
        <f t="shared" ca="1" si="10"/>
        <v>45357</v>
      </c>
      <c r="C157" s="5" t="str" cm="1">
        <f t="array" aca="1" ref="C157" ca="1">INDEX({"S001","S002","S003","S004","S005"}, RANDBETWEEN(1,5))</f>
        <v>S005</v>
      </c>
      <c r="D157" s="5" t="str" cm="1">
        <f t="array" aca="1" ref="D157" ca="1">INDEX({"Mumbai","Delhi","Bangalore","Ahmedabad","Chennai"}, RANDBETWEEN(1,5))</f>
        <v>Bangalore</v>
      </c>
      <c r="E157" s="5" t="str" cm="1">
        <f t="array" aca="1" ref="E157" ca="1">INDEX({"Electronics","Groceries","Furniture","Clothing","Stationery"}, RANDBETWEEN(1,5))</f>
        <v>Furniture</v>
      </c>
      <c r="F157" s="5" t="str">
        <f t="shared" ca="1" si="11"/>
        <v>Table</v>
      </c>
      <c r="G157" s="8">
        <f t="shared" ca="1" si="12"/>
        <v>93</v>
      </c>
      <c r="H157" s="10">
        <f t="shared" ca="1" si="13"/>
        <v>1200</v>
      </c>
      <c r="I157" s="10">
        <f t="shared" ca="1" si="14"/>
        <v>111600</v>
      </c>
      <c r="J157" s="10">
        <f ca="1">Table2[[#This Row],[Unit Price]] * RANDBETWEEN(70,90)/100</f>
        <v>864</v>
      </c>
      <c r="K157" s="12">
        <f ca="1">(Table2[[#This Row],[Unit Price]] - Table2[[#This Row],[Cost per Unit]]) * Table2[[#This Row],[Units Sold]]</f>
        <v>31248</v>
      </c>
    </row>
    <row r="158" spans="1:11" ht="15.6" x14ac:dyDescent="0.3">
      <c r="A158" s="5" cm="1">
        <f t="array" ref="A158">1000 + ROW(158:158)</f>
        <v>1158</v>
      </c>
      <c r="B158" s="6">
        <f t="shared" ca="1" si="10"/>
        <v>45359</v>
      </c>
      <c r="C158" s="5" t="str" cm="1">
        <f t="array" aca="1" ref="C158" ca="1">INDEX({"S001","S002","S003","S004","S005"}, RANDBETWEEN(1,5))</f>
        <v>S005</v>
      </c>
      <c r="D158" s="5" t="str" cm="1">
        <f t="array" aca="1" ref="D158" ca="1">INDEX({"Mumbai","Delhi","Bangalore","Ahmedabad","Chennai"}, RANDBETWEEN(1,5))</f>
        <v>Chennai</v>
      </c>
      <c r="E158" s="5" t="str" cm="1">
        <f t="array" aca="1" ref="E158" ca="1">INDEX({"Electronics","Groceries","Furniture","Clothing","Stationery"}, RANDBETWEEN(1,5))</f>
        <v>Clothing</v>
      </c>
      <c r="F158" s="5" t="str">
        <f t="shared" ca="1" si="11"/>
        <v>T-shirt</v>
      </c>
      <c r="G158" s="8">
        <f t="shared" ca="1" si="12"/>
        <v>61</v>
      </c>
      <c r="H158" s="10">
        <f t="shared" ca="1" si="13"/>
        <v>30000</v>
      </c>
      <c r="I158" s="10">
        <f t="shared" ca="1" si="14"/>
        <v>1830000</v>
      </c>
      <c r="J158" s="10">
        <f ca="1">Table2[[#This Row],[Unit Price]] * RANDBETWEEN(70,90)/100</f>
        <v>25500</v>
      </c>
      <c r="K158" s="12">
        <f ca="1">(Table2[[#This Row],[Unit Price]] - Table2[[#This Row],[Cost per Unit]]) * Table2[[#This Row],[Units Sold]]</f>
        <v>274500</v>
      </c>
    </row>
    <row r="159" spans="1:11" ht="15.6" x14ac:dyDescent="0.3">
      <c r="A159" s="5" cm="1">
        <f t="array" ref="A159">1000 + ROW(159:159)</f>
        <v>1159</v>
      </c>
      <c r="B159" s="6">
        <f t="shared" ca="1" si="10"/>
        <v>45306</v>
      </c>
      <c r="C159" s="5" t="str" cm="1">
        <f t="array" aca="1" ref="C159" ca="1">INDEX({"S001","S002","S003","S004","S005"}, RANDBETWEEN(1,5))</f>
        <v>S004</v>
      </c>
      <c r="D159" s="5" t="str" cm="1">
        <f t="array" aca="1" ref="D159" ca="1">INDEX({"Mumbai","Delhi","Bangalore","Ahmedabad","Chennai"}, RANDBETWEEN(1,5))</f>
        <v>Bangalore</v>
      </c>
      <c r="E159" s="5" t="str" cm="1">
        <f t="array" aca="1" ref="E159" ca="1">INDEX({"Electronics","Groceries","Furniture","Clothing","Stationery"}, RANDBETWEEN(1,5))</f>
        <v>Clothing</v>
      </c>
      <c r="F159" s="5" t="str">
        <f t="shared" ca="1" si="11"/>
        <v>Smartphone</v>
      </c>
      <c r="G159" s="8">
        <f t="shared" ca="1" si="12"/>
        <v>40</v>
      </c>
      <c r="H159" s="10">
        <f t="shared" ca="1" si="13"/>
        <v>700</v>
      </c>
      <c r="I159" s="10">
        <f t="shared" ca="1" si="14"/>
        <v>28000</v>
      </c>
      <c r="J159" s="10">
        <f ca="1">Table2[[#This Row],[Unit Price]] * RANDBETWEEN(70,90)/100</f>
        <v>490</v>
      </c>
      <c r="K159" s="12">
        <f ca="1">(Table2[[#This Row],[Unit Price]] - Table2[[#This Row],[Cost per Unit]]) * Table2[[#This Row],[Units Sold]]</f>
        <v>8400</v>
      </c>
    </row>
    <row r="160" spans="1:11" ht="15.6" x14ac:dyDescent="0.3">
      <c r="A160" s="5" cm="1">
        <f t="array" ref="A160">1000 + ROW(160:160)</f>
        <v>1160</v>
      </c>
      <c r="B160" s="6">
        <f t="shared" ca="1" si="10"/>
        <v>45361</v>
      </c>
      <c r="C160" s="5" t="str" cm="1">
        <f t="array" aca="1" ref="C160" ca="1">INDEX({"S001","S002","S003","S004","S005"}, RANDBETWEEN(1,5))</f>
        <v>S001</v>
      </c>
      <c r="D160" s="5" t="str" cm="1">
        <f t="array" aca="1" ref="D160" ca="1">INDEX({"Mumbai","Delhi","Bangalore","Ahmedabad","Chennai"}, RANDBETWEEN(1,5))</f>
        <v>Mumbai</v>
      </c>
      <c r="E160" s="5" t="str" cm="1">
        <f t="array" aca="1" ref="E160" ca="1">INDEX({"Electronics","Groceries","Furniture","Clothing","Stationery"}, RANDBETWEEN(1,5))</f>
        <v>Furniture</v>
      </c>
      <c r="F160" s="5" t="str">
        <f t="shared" ca="1" si="11"/>
        <v>Smartphone</v>
      </c>
      <c r="G160" s="8">
        <f t="shared" ca="1" si="12"/>
        <v>55</v>
      </c>
      <c r="H160" s="10">
        <f t="shared" ca="1" si="13"/>
        <v>1200</v>
      </c>
      <c r="I160" s="10">
        <f t="shared" ca="1" si="14"/>
        <v>66000</v>
      </c>
      <c r="J160" s="10">
        <f ca="1">Table2[[#This Row],[Unit Price]] * RANDBETWEEN(70,90)/100</f>
        <v>1068</v>
      </c>
      <c r="K160" s="12">
        <f ca="1">(Table2[[#This Row],[Unit Price]] - Table2[[#This Row],[Cost per Unit]]) * Table2[[#This Row],[Units Sold]]</f>
        <v>7260</v>
      </c>
    </row>
    <row r="161" spans="1:11" ht="15.6" x14ac:dyDescent="0.3">
      <c r="A161" s="5" cm="1">
        <f t="array" ref="A161">1000 + ROW(161:161)</f>
        <v>1161</v>
      </c>
      <c r="B161" s="6">
        <f t="shared" ca="1" si="10"/>
        <v>45351</v>
      </c>
      <c r="C161" s="5" t="str" cm="1">
        <f t="array" aca="1" ref="C161" ca="1">INDEX({"S001","S002","S003","S004","S005"}, RANDBETWEEN(1,5))</f>
        <v>S001</v>
      </c>
      <c r="D161" s="5" t="str" cm="1">
        <f t="array" aca="1" ref="D161" ca="1">INDEX({"Mumbai","Delhi","Bangalore","Ahmedabad","Chennai"}, RANDBETWEEN(1,5))</f>
        <v>Bangalore</v>
      </c>
      <c r="E161" s="5" t="str" cm="1">
        <f t="array" aca="1" ref="E161" ca="1">INDEX({"Electronics","Groceries","Furniture","Clothing","Stationery"}, RANDBETWEEN(1,5))</f>
        <v>Electronics</v>
      </c>
      <c r="F161" s="5" t="str">
        <f t="shared" ca="1" si="11"/>
        <v>Office Chair</v>
      </c>
      <c r="G161" s="8">
        <f t="shared" ca="1" si="12"/>
        <v>2</v>
      </c>
      <c r="H161" s="10">
        <f t="shared" ca="1" si="13"/>
        <v>300</v>
      </c>
      <c r="I161" s="10">
        <f t="shared" ca="1" si="14"/>
        <v>600</v>
      </c>
      <c r="J161" s="10">
        <f ca="1">Table2[[#This Row],[Unit Price]] * RANDBETWEEN(70,90)/100</f>
        <v>234</v>
      </c>
      <c r="K161" s="12">
        <f ca="1">(Table2[[#This Row],[Unit Price]] - Table2[[#This Row],[Cost per Unit]]) * Table2[[#This Row],[Units Sold]]</f>
        <v>132</v>
      </c>
    </row>
    <row r="162" spans="1:11" ht="15.6" x14ac:dyDescent="0.3">
      <c r="A162" s="5" cm="1">
        <f t="array" ref="A162">1000 + ROW(162:162)</f>
        <v>1162</v>
      </c>
      <c r="B162" s="6">
        <f t="shared" ca="1" si="10"/>
        <v>45350</v>
      </c>
      <c r="C162" s="5" t="str" cm="1">
        <f t="array" aca="1" ref="C162" ca="1">INDEX({"S001","S002","S003","S004","S005"}, RANDBETWEEN(1,5))</f>
        <v>S005</v>
      </c>
      <c r="D162" s="5" t="str" cm="1">
        <f t="array" aca="1" ref="D162" ca="1">INDEX({"Mumbai","Delhi","Bangalore","Ahmedabad","Chennai"}, RANDBETWEEN(1,5))</f>
        <v>Chennai</v>
      </c>
      <c r="E162" s="5" t="str" cm="1">
        <f t="array" aca="1" ref="E162" ca="1">INDEX({"Electronics","Groceries","Furniture","Clothing","Stationery"}, RANDBETWEEN(1,5))</f>
        <v>Furniture</v>
      </c>
      <c r="F162" s="5" t="str">
        <f t="shared" ca="1" si="11"/>
        <v>Smartphone</v>
      </c>
      <c r="G162" s="8">
        <f t="shared" ca="1" si="12"/>
        <v>66</v>
      </c>
      <c r="H162" s="10">
        <f t="shared" ca="1" si="13"/>
        <v>300</v>
      </c>
      <c r="I162" s="10">
        <f t="shared" ca="1" si="14"/>
        <v>19800</v>
      </c>
      <c r="J162" s="10">
        <f ca="1">Table2[[#This Row],[Unit Price]] * RANDBETWEEN(70,90)/100</f>
        <v>252</v>
      </c>
      <c r="K162" s="12">
        <f ca="1">(Table2[[#This Row],[Unit Price]] - Table2[[#This Row],[Cost per Unit]]) * Table2[[#This Row],[Units Sold]]</f>
        <v>3168</v>
      </c>
    </row>
    <row r="163" spans="1:11" ht="15.6" x14ac:dyDescent="0.3">
      <c r="A163" s="5" cm="1">
        <f t="array" ref="A163">1000 + ROW(163:163)</f>
        <v>1163</v>
      </c>
      <c r="B163" s="6">
        <f t="shared" ca="1" si="10"/>
        <v>45293</v>
      </c>
      <c r="C163" s="5" t="str" cm="1">
        <f t="array" aca="1" ref="C163" ca="1">INDEX({"S001","S002","S003","S004","S005"}, RANDBETWEEN(1,5))</f>
        <v>S004</v>
      </c>
      <c r="D163" s="5" t="str" cm="1">
        <f t="array" aca="1" ref="D163" ca="1">INDEX({"Mumbai","Delhi","Bangalore","Ahmedabad","Chennai"}, RANDBETWEEN(1,5))</f>
        <v>Bangalore</v>
      </c>
      <c r="E163" s="5" t="str" cm="1">
        <f t="array" aca="1" ref="E163" ca="1">INDEX({"Electronics","Groceries","Furniture","Clothing","Stationery"}, RANDBETWEEN(1,5))</f>
        <v>Electronics</v>
      </c>
      <c r="F163" s="5" t="str">
        <f t="shared" ca="1" si="11"/>
        <v>Desk Lamp</v>
      </c>
      <c r="G163" s="8">
        <f t="shared" ca="1" si="12"/>
        <v>72</v>
      </c>
      <c r="H163" s="10">
        <f t="shared" ca="1" si="13"/>
        <v>150</v>
      </c>
      <c r="I163" s="10">
        <f t="shared" ca="1" si="14"/>
        <v>10800</v>
      </c>
      <c r="J163" s="10">
        <f ca="1">Table2[[#This Row],[Unit Price]] * RANDBETWEEN(70,90)/100</f>
        <v>121.5</v>
      </c>
      <c r="K163" s="12">
        <f ca="1">(Table2[[#This Row],[Unit Price]] - Table2[[#This Row],[Cost per Unit]]) * Table2[[#This Row],[Units Sold]]</f>
        <v>2052</v>
      </c>
    </row>
    <row r="164" spans="1:11" ht="15.6" x14ac:dyDescent="0.3">
      <c r="A164" s="5" cm="1">
        <f t="array" ref="A164">1000 + ROW(164:164)</f>
        <v>1164</v>
      </c>
      <c r="B164" s="6">
        <f t="shared" ca="1" si="10"/>
        <v>45346</v>
      </c>
      <c r="C164" s="5" t="str" cm="1">
        <f t="array" aca="1" ref="C164" ca="1">INDEX({"S001","S002","S003","S004","S005"}, RANDBETWEEN(1,5))</f>
        <v>S003</v>
      </c>
      <c r="D164" s="5" t="str" cm="1">
        <f t="array" aca="1" ref="D164" ca="1">INDEX({"Mumbai","Delhi","Bangalore","Ahmedabad","Chennai"}, RANDBETWEEN(1,5))</f>
        <v>Ahmedabad</v>
      </c>
      <c r="E164" s="5" t="str" cm="1">
        <f t="array" aca="1" ref="E164" ca="1">INDEX({"Electronics","Groceries","Furniture","Clothing","Stationery"}, RANDBETWEEN(1,5))</f>
        <v>Furniture</v>
      </c>
      <c r="F164" s="5" t="str">
        <f t="shared" ca="1" si="11"/>
        <v>T-shirt</v>
      </c>
      <c r="G164" s="8">
        <f t="shared" ca="1" si="12"/>
        <v>8</v>
      </c>
      <c r="H164" s="10">
        <f t="shared" ca="1" si="13"/>
        <v>30000</v>
      </c>
      <c r="I164" s="10">
        <f t="shared" ca="1" si="14"/>
        <v>240000</v>
      </c>
      <c r="J164" s="10">
        <f ca="1">Table2[[#This Row],[Unit Price]] * RANDBETWEEN(70,90)/100</f>
        <v>23400</v>
      </c>
      <c r="K164" s="12">
        <f ca="1">(Table2[[#This Row],[Unit Price]] - Table2[[#This Row],[Cost per Unit]]) * Table2[[#This Row],[Units Sold]]</f>
        <v>52800</v>
      </c>
    </row>
    <row r="165" spans="1:11" ht="15.6" x14ac:dyDescent="0.3">
      <c r="A165" s="5" cm="1">
        <f t="array" ref="A165">1000 + ROW(165:165)</f>
        <v>1165</v>
      </c>
      <c r="B165" s="6">
        <f t="shared" ca="1" si="10"/>
        <v>45376</v>
      </c>
      <c r="C165" s="5" t="str" cm="1">
        <f t="array" aca="1" ref="C165" ca="1">INDEX({"S001","S002","S003","S004","S005"}, RANDBETWEEN(1,5))</f>
        <v>S005</v>
      </c>
      <c r="D165" s="5" t="str" cm="1">
        <f t="array" aca="1" ref="D165" ca="1">INDEX({"Mumbai","Delhi","Bangalore","Ahmedabad","Chennai"}, RANDBETWEEN(1,5))</f>
        <v>Bangalore</v>
      </c>
      <c r="E165" s="5" t="str" cm="1">
        <f t="array" aca="1" ref="E165" ca="1">INDEX({"Electronics","Groceries","Furniture","Clothing","Stationery"}, RANDBETWEEN(1,5))</f>
        <v>Groceries</v>
      </c>
      <c r="F165" s="5" t="str">
        <f t="shared" ca="1" si="11"/>
        <v>Table</v>
      </c>
      <c r="G165" s="8">
        <f t="shared" ca="1" si="12"/>
        <v>20</v>
      </c>
      <c r="H165" s="10">
        <f t="shared" ca="1" si="13"/>
        <v>150</v>
      </c>
      <c r="I165" s="10">
        <f t="shared" ca="1" si="14"/>
        <v>3000</v>
      </c>
      <c r="J165" s="10">
        <f ca="1">Table2[[#This Row],[Unit Price]] * RANDBETWEEN(70,90)/100</f>
        <v>112.5</v>
      </c>
      <c r="K165" s="12">
        <f ca="1">(Table2[[#This Row],[Unit Price]] - Table2[[#This Row],[Cost per Unit]]) * Table2[[#This Row],[Units Sold]]</f>
        <v>750</v>
      </c>
    </row>
    <row r="166" spans="1:11" ht="15.6" x14ac:dyDescent="0.3">
      <c r="A166" s="5" cm="1">
        <f t="array" ref="A166">1000 + ROW(166:166)</f>
        <v>1166</v>
      </c>
      <c r="B166" s="6">
        <f t="shared" ca="1" si="10"/>
        <v>45312</v>
      </c>
      <c r="C166" s="5" t="str" cm="1">
        <f t="array" aca="1" ref="C166" ca="1">INDEX({"S001","S002","S003","S004","S005"}, RANDBETWEEN(1,5))</f>
        <v>S003</v>
      </c>
      <c r="D166" s="5" t="str" cm="1">
        <f t="array" aca="1" ref="D166" ca="1">INDEX({"Mumbai","Delhi","Bangalore","Ahmedabad","Chennai"}, RANDBETWEEN(1,5))</f>
        <v>Delhi</v>
      </c>
      <c r="E166" s="5" t="str" cm="1">
        <f t="array" aca="1" ref="E166" ca="1">INDEX({"Electronics","Groceries","Furniture","Clothing","Stationery"}, RANDBETWEEN(1,5))</f>
        <v>Electronics</v>
      </c>
      <c r="F166" s="5" t="str">
        <f t="shared" ca="1" si="11"/>
        <v>Desk Lamp</v>
      </c>
      <c r="G166" s="8">
        <f t="shared" ca="1" si="12"/>
        <v>42</v>
      </c>
      <c r="H166" s="10">
        <f t="shared" ca="1" si="13"/>
        <v>30000</v>
      </c>
      <c r="I166" s="10">
        <f t="shared" ca="1" si="14"/>
        <v>1260000</v>
      </c>
      <c r="J166" s="10">
        <f ca="1">Table2[[#This Row],[Unit Price]] * RANDBETWEEN(70,90)/100</f>
        <v>21300</v>
      </c>
      <c r="K166" s="12">
        <f ca="1">(Table2[[#This Row],[Unit Price]] - Table2[[#This Row],[Cost per Unit]]) * Table2[[#This Row],[Units Sold]]</f>
        <v>365400</v>
      </c>
    </row>
    <row r="167" spans="1:11" ht="15.6" x14ac:dyDescent="0.3">
      <c r="A167" s="5" cm="1">
        <f t="array" ref="A167">1000 + ROW(167:167)</f>
        <v>1167</v>
      </c>
      <c r="B167" s="6">
        <f t="shared" ca="1" si="10"/>
        <v>45368</v>
      </c>
      <c r="C167" s="5" t="str" cm="1">
        <f t="array" aca="1" ref="C167" ca="1">INDEX({"S001","S002","S003","S004","S005"}, RANDBETWEEN(1,5))</f>
        <v>S002</v>
      </c>
      <c r="D167" s="5" t="str" cm="1">
        <f t="array" aca="1" ref="D167" ca="1">INDEX({"Mumbai","Delhi","Bangalore","Ahmedabad","Chennai"}, RANDBETWEEN(1,5))</f>
        <v>Bangalore</v>
      </c>
      <c r="E167" s="5" t="str" cm="1">
        <f t="array" aca="1" ref="E167" ca="1">INDEX({"Electronics","Groceries","Furniture","Clothing","Stationery"}, RANDBETWEEN(1,5))</f>
        <v>Furniture</v>
      </c>
      <c r="F167" s="5" t="str">
        <f t="shared" ca="1" si="11"/>
        <v>Laptop</v>
      </c>
      <c r="G167" s="8">
        <f t="shared" ca="1" si="12"/>
        <v>28</v>
      </c>
      <c r="H167" s="10">
        <f t="shared" ca="1" si="13"/>
        <v>30000</v>
      </c>
      <c r="I167" s="10">
        <f t="shared" ca="1" si="14"/>
        <v>840000</v>
      </c>
      <c r="J167" s="10">
        <f ca="1">Table2[[#This Row],[Unit Price]] * RANDBETWEEN(70,90)/100</f>
        <v>25800</v>
      </c>
      <c r="K167" s="12">
        <f ca="1">(Table2[[#This Row],[Unit Price]] - Table2[[#This Row],[Cost per Unit]]) * Table2[[#This Row],[Units Sold]]</f>
        <v>117600</v>
      </c>
    </row>
    <row r="168" spans="1:11" ht="15.6" x14ac:dyDescent="0.3">
      <c r="A168" s="5" cm="1">
        <f t="array" ref="A168">1000 + ROW(168:168)</f>
        <v>1168</v>
      </c>
      <c r="B168" s="6">
        <f t="shared" ca="1" si="10"/>
        <v>45359</v>
      </c>
      <c r="C168" s="5" t="str" cm="1">
        <f t="array" aca="1" ref="C168" ca="1">INDEX({"S001","S002","S003","S004","S005"}, RANDBETWEEN(1,5))</f>
        <v>S003</v>
      </c>
      <c r="D168" s="5" t="str" cm="1">
        <f t="array" aca="1" ref="D168" ca="1">INDEX({"Mumbai","Delhi","Bangalore","Ahmedabad","Chennai"}, RANDBETWEEN(1,5))</f>
        <v>Delhi</v>
      </c>
      <c r="E168" s="5" t="str" cm="1">
        <f t="array" aca="1" ref="E168" ca="1">INDEX({"Electronics","Groceries","Furniture","Clothing","Stationery"}, RANDBETWEEN(1,5))</f>
        <v>Stationery</v>
      </c>
      <c r="F168" s="5" t="str">
        <f t="shared" ca="1" si="11"/>
        <v>Shampoo</v>
      </c>
      <c r="G168" s="8">
        <f t="shared" ca="1" si="12"/>
        <v>3</v>
      </c>
      <c r="H168" s="10">
        <f t="shared" ca="1" si="13"/>
        <v>500</v>
      </c>
      <c r="I168" s="10">
        <f t="shared" ca="1" si="14"/>
        <v>1500</v>
      </c>
      <c r="J168" s="10">
        <f ca="1">Table2[[#This Row],[Unit Price]] * RANDBETWEEN(70,90)/100</f>
        <v>370</v>
      </c>
      <c r="K168" s="12">
        <f ca="1">(Table2[[#This Row],[Unit Price]] - Table2[[#This Row],[Cost per Unit]]) * Table2[[#This Row],[Units Sold]]</f>
        <v>390</v>
      </c>
    </row>
    <row r="169" spans="1:11" ht="15.6" x14ac:dyDescent="0.3">
      <c r="A169" s="5" cm="1">
        <f t="array" ref="A169">1000 + ROW(169:169)</f>
        <v>1169</v>
      </c>
      <c r="B169" s="6">
        <f t="shared" ca="1" si="10"/>
        <v>45296</v>
      </c>
      <c r="C169" s="5" t="str" cm="1">
        <f t="array" aca="1" ref="C169" ca="1">INDEX({"S001","S002","S003","S004","S005"}, RANDBETWEEN(1,5))</f>
        <v>S002</v>
      </c>
      <c r="D169" s="5" t="str" cm="1">
        <f t="array" aca="1" ref="D169" ca="1">INDEX({"Mumbai","Delhi","Bangalore","Ahmedabad","Chennai"}, RANDBETWEEN(1,5))</f>
        <v>Delhi</v>
      </c>
      <c r="E169" s="5" t="str" cm="1">
        <f t="array" aca="1" ref="E169" ca="1">INDEX({"Electronics","Groceries","Furniture","Clothing","Stationery"}, RANDBETWEEN(1,5))</f>
        <v>Stationery</v>
      </c>
      <c r="F169" s="5" t="str">
        <f t="shared" ca="1" si="11"/>
        <v>Notebook</v>
      </c>
      <c r="G169" s="8">
        <f t="shared" ca="1" si="12"/>
        <v>53</v>
      </c>
      <c r="H169" s="10">
        <f t="shared" ca="1" si="13"/>
        <v>30000</v>
      </c>
      <c r="I169" s="10">
        <f t="shared" ca="1" si="14"/>
        <v>1590000</v>
      </c>
      <c r="J169" s="10">
        <f ca="1">Table2[[#This Row],[Unit Price]] * RANDBETWEEN(70,90)/100</f>
        <v>23400</v>
      </c>
      <c r="K169" s="12">
        <f ca="1">(Table2[[#This Row],[Unit Price]] - Table2[[#This Row],[Cost per Unit]]) * Table2[[#This Row],[Units Sold]]</f>
        <v>349800</v>
      </c>
    </row>
    <row r="170" spans="1:11" ht="15.6" x14ac:dyDescent="0.3">
      <c r="A170" s="5" cm="1">
        <f t="array" ref="A170">1000 + ROW(170:170)</f>
        <v>1170</v>
      </c>
      <c r="B170" s="6">
        <f t="shared" ca="1" si="10"/>
        <v>45304</v>
      </c>
      <c r="C170" s="5" t="str" cm="1">
        <f t="array" aca="1" ref="C170" ca="1">INDEX({"S001","S002","S003","S004","S005"}, RANDBETWEEN(1,5))</f>
        <v>S002</v>
      </c>
      <c r="D170" s="5" t="str" cm="1">
        <f t="array" aca="1" ref="D170" ca="1">INDEX({"Mumbai","Delhi","Bangalore","Ahmedabad","Chennai"}, RANDBETWEEN(1,5))</f>
        <v>Delhi</v>
      </c>
      <c r="E170" s="5" t="str" cm="1">
        <f t="array" aca="1" ref="E170" ca="1">INDEX({"Electronics","Groceries","Furniture","Clothing","Stationery"}, RANDBETWEEN(1,5))</f>
        <v>Furniture</v>
      </c>
      <c r="F170" s="5" t="str">
        <f t="shared" ca="1" si="11"/>
        <v>Laptop</v>
      </c>
      <c r="G170" s="8">
        <f t="shared" ca="1" si="12"/>
        <v>81</v>
      </c>
      <c r="H170" s="10">
        <f t="shared" ca="1" si="13"/>
        <v>500</v>
      </c>
      <c r="I170" s="10">
        <f t="shared" ca="1" si="14"/>
        <v>40500</v>
      </c>
      <c r="J170" s="10">
        <f ca="1">Table2[[#This Row],[Unit Price]] * RANDBETWEEN(70,90)/100</f>
        <v>380</v>
      </c>
      <c r="K170" s="12">
        <f ca="1">(Table2[[#This Row],[Unit Price]] - Table2[[#This Row],[Cost per Unit]]) * Table2[[#This Row],[Units Sold]]</f>
        <v>9720</v>
      </c>
    </row>
    <row r="171" spans="1:11" ht="15.6" x14ac:dyDescent="0.3">
      <c r="A171" s="5" cm="1">
        <f t="array" ref="A171">1000 + ROW(171:171)</f>
        <v>1171</v>
      </c>
      <c r="B171" s="6">
        <f t="shared" ca="1" si="10"/>
        <v>45311</v>
      </c>
      <c r="C171" s="5" t="str" cm="1">
        <f t="array" aca="1" ref="C171" ca="1">INDEX({"S001","S002","S003","S004","S005"}, RANDBETWEEN(1,5))</f>
        <v>S002</v>
      </c>
      <c r="D171" s="5" t="str" cm="1">
        <f t="array" aca="1" ref="D171" ca="1">INDEX({"Mumbai","Delhi","Bangalore","Ahmedabad","Chennai"}, RANDBETWEEN(1,5))</f>
        <v>Chennai</v>
      </c>
      <c r="E171" s="5" t="str" cm="1">
        <f t="array" aca="1" ref="E171" ca="1">INDEX({"Electronics","Groceries","Furniture","Clothing","Stationery"}, RANDBETWEEN(1,5))</f>
        <v>Clothing</v>
      </c>
      <c r="F171" s="5" t="str">
        <f t="shared" ca="1" si="11"/>
        <v>Notebook</v>
      </c>
      <c r="G171" s="8">
        <f t="shared" ca="1" si="12"/>
        <v>57</v>
      </c>
      <c r="H171" s="10">
        <f t="shared" ca="1" si="13"/>
        <v>300</v>
      </c>
      <c r="I171" s="10">
        <f t="shared" ca="1" si="14"/>
        <v>17100</v>
      </c>
      <c r="J171" s="10">
        <f ca="1">Table2[[#This Row],[Unit Price]] * RANDBETWEEN(70,90)/100</f>
        <v>213</v>
      </c>
      <c r="K171" s="12">
        <f ca="1">(Table2[[#This Row],[Unit Price]] - Table2[[#This Row],[Cost per Unit]]) * Table2[[#This Row],[Units Sold]]</f>
        <v>4959</v>
      </c>
    </row>
    <row r="172" spans="1:11" ht="15.6" x14ac:dyDescent="0.3">
      <c r="A172" s="5" cm="1">
        <f t="array" ref="A172">1000 + ROW(172:172)</f>
        <v>1172</v>
      </c>
      <c r="B172" s="6">
        <f t="shared" ca="1" si="10"/>
        <v>45375</v>
      </c>
      <c r="C172" s="5" t="str" cm="1">
        <f t="array" aca="1" ref="C172" ca="1">INDEX({"S001","S002","S003","S004","S005"}, RANDBETWEEN(1,5))</f>
        <v>S005</v>
      </c>
      <c r="D172" s="5" t="str" cm="1">
        <f t="array" aca="1" ref="D172" ca="1">INDEX({"Mumbai","Delhi","Bangalore","Ahmedabad","Chennai"}, RANDBETWEEN(1,5))</f>
        <v>Ahmedabad</v>
      </c>
      <c r="E172" s="5" t="str" cm="1">
        <f t="array" aca="1" ref="E172" ca="1">INDEX({"Electronics","Groceries","Furniture","Clothing","Stationery"}, RANDBETWEEN(1,5))</f>
        <v>Stationery</v>
      </c>
      <c r="F172" s="5" t="str">
        <f t="shared" ca="1" si="11"/>
        <v>Cooking Oil 1L</v>
      </c>
      <c r="G172" s="8">
        <f t="shared" ca="1" si="12"/>
        <v>9</v>
      </c>
      <c r="H172" s="10">
        <f t="shared" ca="1" si="13"/>
        <v>15000</v>
      </c>
      <c r="I172" s="10">
        <f t="shared" ca="1" si="14"/>
        <v>135000</v>
      </c>
      <c r="J172" s="10">
        <f ca="1">Table2[[#This Row],[Unit Price]] * RANDBETWEEN(70,90)/100</f>
        <v>11700</v>
      </c>
      <c r="K172" s="12">
        <f ca="1">(Table2[[#This Row],[Unit Price]] - Table2[[#This Row],[Cost per Unit]]) * Table2[[#This Row],[Units Sold]]</f>
        <v>29700</v>
      </c>
    </row>
    <row r="173" spans="1:11" ht="15.6" x14ac:dyDescent="0.3">
      <c r="A173" s="5" cm="1">
        <f t="array" ref="A173">1000 + ROW(173:173)</f>
        <v>1173</v>
      </c>
      <c r="B173" s="6">
        <f t="shared" ca="1" si="10"/>
        <v>45302</v>
      </c>
      <c r="C173" s="5" t="str" cm="1">
        <f t="array" aca="1" ref="C173" ca="1">INDEX({"S001","S002","S003","S004","S005"}, RANDBETWEEN(1,5))</f>
        <v>S003</v>
      </c>
      <c r="D173" s="5" t="str" cm="1">
        <f t="array" aca="1" ref="D173" ca="1">INDEX({"Mumbai","Delhi","Bangalore","Ahmedabad","Chennai"}, RANDBETWEEN(1,5))</f>
        <v>Chennai</v>
      </c>
      <c r="E173" s="5" t="str" cm="1">
        <f t="array" aca="1" ref="E173" ca="1">INDEX({"Electronics","Groceries","Furniture","Clothing","Stationery"}, RANDBETWEEN(1,5))</f>
        <v>Electronics</v>
      </c>
      <c r="F173" s="5" t="str">
        <f t="shared" ca="1" si="11"/>
        <v>Office Chair</v>
      </c>
      <c r="G173" s="8">
        <f t="shared" ca="1" si="12"/>
        <v>30</v>
      </c>
      <c r="H173" s="10">
        <f t="shared" ca="1" si="13"/>
        <v>50</v>
      </c>
      <c r="I173" s="10">
        <f t="shared" ca="1" si="14"/>
        <v>1500</v>
      </c>
      <c r="J173" s="10">
        <f ca="1">Table2[[#This Row],[Unit Price]] * RANDBETWEEN(70,90)/100</f>
        <v>44</v>
      </c>
      <c r="K173" s="12">
        <f ca="1">(Table2[[#This Row],[Unit Price]] - Table2[[#This Row],[Cost per Unit]]) * Table2[[#This Row],[Units Sold]]</f>
        <v>180</v>
      </c>
    </row>
    <row r="174" spans="1:11" ht="15.6" x14ac:dyDescent="0.3">
      <c r="A174" s="5" cm="1">
        <f t="array" ref="A174">1000 + ROW(174:174)</f>
        <v>1174</v>
      </c>
      <c r="B174" s="6">
        <f t="shared" ca="1" si="10"/>
        <v>45340</v>
      </c>
      <c r="C174" s="5" t="str" cm="1">
        <f t="array" aca="1" ref="C174" ca="1">INDEX({"S001","S002","S003","S004","S005"}, RANDBETWEEN(1,5))</f>
        <v>S005</v>
      </c>
      <c r="D174" s="5" t="str" cm="1">
        <f t="array" aca="1" ref="D174" ca="1">INDEX({"Mumbai","Delhi","Bangalore","Ahmedabad","Chennai"}, RANDBETWEEN(1,5))</f>
        <v>Bangalore</v>
      </c>
      <c r="E174" s="5" t="str" cm="1">
        <f t="array" aca="1" ref="E174" ca="1">INDEX({"Electronics","Groceries","Furniture","Clothing","Stationery"}, RANDBETWEEN(1,5))</f>
        <v>Stationery</v>
      </c>
      <c r="F174" s="5" t="str">
        <f t="shared" ca="1" si="11"/>
        <v>Smartphone</v>
      </c>
      <c r="G174" s="8">
        <f t="shared" ca="1" si="12"/>
        <v>53</v>
      </c>
      <c r="H174" s="10">
        <f t="shared" ca="1" si="13"/>
        <v>150</v>
      </c>
      <c r="I174" s="10">
        <f t="shared" ca="1" si="14"/>
        <v>7950</v>
      </c>
      <c r="J174" s="10">
        <f ca="1">Table2[[#This Row],[Unit Price]] * RANDBETWEEN(70,90)/100</f>
        <v>106.5</v>
      </c>
      <c r="K174" s="12">
        <f ca="1">(Table2[[#This Row],[Unit Price]] - Table2[[#This Row],[Cost per Unit]]) * Table2[[#This Row],[Units Sold]]</f>
        <v>2305.5</v>
      </c>
    </row>
    <row r="175" spans="1:11" ht="15.6" x14ac:dyDescent="0.3">
      <c r="A175" s="5" cm="1">
        <f t="array" ref="A175">1000 + ROW(175:175)</f>
        <v>1175</v>
      </c>
      <c r="B175" s="6">
        <f t="shared" ca="1" si="10"/>
        <v>45380</v>
      </c>
      <c r="C175" s="5" t="str" cm="1">
        <f t="array" aca="1" ref="C175" ca="1">INDEX({"S001","S002","S003","S004","S005"}, RANDBETWEEN(1,5))</f>
        <v>S003</v>
      </c>
      <c r="D175" s="5" t="str" cm="1">
        <f t="array" aca="1" ref="D175" ca="1">INDEX({"Mumbai","Delhi","Bangalore","Ahmedabad","Chennai"}, RANDBETWEEN(1,5))</f>
        <v>Ahmedabad</v>
      </c>
      <c r="E175" s="5" t="str" cm="1">
        <f t="array" aca="1" ref="E175" ca="1">INDEX({"Electronics","Groceries","Furniture","Clothing","Stationery"}, RANDBETWEEN(1,5))</f>
        <v>Electronics</v>
      </c>
      <c r="F175" s="5" t="str">
        <f t="shared" ca="1" si="11"/>
        <v>T-shirt</v>
      </c>
      <c r="G175" s="8">
        <f t="shared" ca="1" si="12"/>
        <v>53</v>
      </c>
      <c r="H175" s="10">
        <f t="shared" ca="1" si="13"/>
        <v>700</v>
      </c>
      <c r="I175" s="10">
        <f t="shared" ca="1" si="14"/>
        <v>37100</v>
      </c>
      <c r="J175" s="10">
        <f ca="1">Table2[[#This Row],[Unit Price]] * RANDBETWEEN(70,90)/100</f>
        <v>539</v>
      </c>
      <c r="K175" s="12">
        <f ca="1">(Table2[[#This Row],[Unit Price]] - Table2[[#This Row],[Cost per Unit]]) * Table2[[#This Row],[Units Sold]]</f>
        <v>8533</v>
      </c>
    </row>
    <row r="176" spans="1:11" ht="15.6" x14ac:dyDescent="0.3">
      <c r="A176" s="5" cm="1">
        <f t="array" ref="A176">1000 + ROW(176:176)</f>
        <v>1176</v>
      </c>
      <c r="B176" s="6">
        <f t="shared" ca="1" si="10"/>
        <v>45351</v>
      </c>
      <c r="C176" s="5" t="str" cm="1">
        <f t="array" aca="1" ref="C176" ca="1">INDEX({"S001","S002","S003","S004","S005"}, RANDBETWEEN(1,5))</f>
        <v>S002</v>
      </c>
      <c r="D176" s="5" t="str" cm="1">
        <f t="array" aca="1" ref="D176" ca="1">INDEX({"Mumbai","Delhi","Bangalore","Ahmedabad","Chennai"}, RANDBETWEEN(1,5))</f>
        <v>Chennai</v>
      </c>
      <c r="E176" s="5" t="str" cm="1">
        <f t="array" aca="1" ref="E176" ca="1">INDEX({"Electronics","Groceries","Furniture","Clothing","Stationery"}, RANDBETWEEN(1,5))</f>
        <v>Groceries</v>
      </c>
      <c r="F176" s="5" t="str">
        <f t="shared" ca="1" si="11"/>
        <v>T-shirt</v>
      </c>
      <c r="G176" s="8">
        <f t="shared" ca="1" si="12"/>
        <v>13</v>
      </c>
      <c r="H176" s="10">
        <f t="shared" ca="1" si="13"/>
        <v>1200</v>
      </c>
      <c r="I176" s="10">
        <f t="shared" ca="1" si="14"/>
        <v>15600</v>
      </c>
      <c r="J176" s="10">
        <f ca="1">Table2[[#This Row],[Unit Price]] * RANDBETWEEN(70,90)/100</f>
        <v>1044</v>
      </c>
      <c r="K176" s="12">
        <f ca="1">(Table2[[#This Row],[Unit Price]] - Table2[[#This Row],[Cost per Unit]]) * Table2[[#This Row],[Units Sold]]</f>
        <v>2028</v>
      </c>
    </row>
    <row r="177" spans="1:11" ht="15.6" x14ac:dyDescent="0.3">
      <c r="A177" s="5" cm="1">
        <f t="array" ref="A177">1000 + ROW(177:177)</f>
        <v>1177</v>
      </c>
      <c r="B177" s="6">
        <f t="shared" ca="1" si="10"/>
        <v>45299</v>
      </c>
      <c r="C177" s="5" t="str" cm="1">
        <f t="array" aca="1" ref="C177" ca="1">INDEX({"S001","S002","S003","S004","S005"}, RANDBETWEEN(1,5))</f>
        <v>S002</v>
      </c>
      <c r="D177" s="5" t="str" cm="1">
        <f t="array" aca="1" ref="D177" ca="1">INDEX({"Mumbai","Delhi","Bangalore","Ahmedabad","Chennai"}, RANDBETWEEN(1,5))</f>
        <v>Delhi</v>
      </c>
      <c r="E177" s="5" t="str" cm="1">
        <f t="array" aca="1" ref="E177" ca="1">INDEX({"Electronics","Groceries","Furniture","Clothing","Stationery"}, RANDBETWEEN(1,5))</f>
        <v>Groceries</v>
      </c>
      <c r="F177" s="5" t="str">
        <f t="shared" ca="1" si="11"/>
        <v>Laptop</v>
      </c>
      <c r="G177" s="8">
        <f t="shared" ca="1" si="12"/>
        <v>55</v>
      </c>
      <c r="H177" s="10">
        <f t="shared" ca="1" si="13"/>
        <v>15000</v>
      </c>
      <c r="I177" s="10">
        <f t="shared" ca="1" si="14"/>
        <v>825000</v>
      </c>
      <c r="J177" s="10">
        <f ca="1">Table2[[#This Row],[Unit Price]] * RANDBETWEEN(70,90)/100</f>
        <v>13050</v>
      </c>
      <c r="K177" s="12">
        <f ca="1">(Table2[[#This Row],[Unit Price]] - Table2[[#This Row],[Cost per Unit]]) * Table2[[#This Row],[Units Sold]]</f>
        <v>107250</v>
      </c>
    </row>
    <row r="178" spans="1:11" ht="15.6" x14ac:dyDescent="0.3">
      <c r="A178" s="5" cm="1">
        <f t="array" ref="A178">1000 + ROW(178:178)</f>
        <v>1178</v>
      </c>
      <c r="B178" s="6">
        <f t="shared" ca="1" si="10"/>
        <v>45371</v>
      </c>
      <c r="C178" s="5" t="str" cm="1">
        <f t="array" aca="1" ref="C178" ca="1">INDEX({"S001","S002","S003","S004","S005"}, RANDBETWEEN(1,5))</f>
        <v>S005</v>
      </c>
      <c r="D178" s="5" t="str" cm="1">
        <f t="array" aca="1" ref="D178" ca="1">INDEX({"Mumbai","Delhi","Bangalore","Ahmedabad","Chennai"}, RANDBETWEEN(1,5))</f>
        <v>Delhi</v>
      </c>
      <c r="E178" s="5" t="str" cm="1">
        <f t="array" aca="1" ref="E178" ca="1">INDEX({"Electronics","Groceries","Furniture","Clothing","Stationery"}, RANDBETWEEN(1,5))</f>
        <v>Furniture</v>
      </c>
      <c r="F178" s="5" t="str">
        <f t="shared" ca="1" si="11"/>
        <v>Laptop</v>
      </c>
      <c r="G178" s="8">
        <f t="shared" ca="1" si="12"/>
        <v>11</v>
      </c>
      <c r="H178" s="10">
        <f t="shared" ca="1" si="13"/>
        <v>50</v>
      </c>
      <c r="I178" s="10">
        <f t="shared" ca="1" si="14"/>
        <v>550</v>
      </c>
      <c r="J178" s="10">
        <f ca="1">Table2[[#This Row],[Unit Price]] * RANDBETWEEN(70,90)/100</f>
        <v>40</v>
      </c>
      <c r="K178" s="12">
        <f ca="1">(Table2[[#This Row],[Unit Price]] - Table2[[#This Row],[Cost per Unit]]) * Table2[[#This Row],[Units Sold]]</f>
        <v>110</v>
      </c>
    </row>
    <row r="179" spans="1:11" ht="15.6" x14ac:dyDescent="0.3">
      <c r="A179" s="5" cm="1">
        <f t="array" ref="A179">1000 + ROW(179:179)</f>
        <v>1179</v>
      </c>
      <c r="B179" s="6">
        <f t="shared" ca="1" si="10"/>
        <v>45309</v>
      </c>
      <c r="C179" s="5" t="str" cm="1">
        <f t="array" aca="1" ref="C179" ca="1">INDEX({"S001","S002","S003","S004","S005"}, RANDBETWEEN(1,5))</f>
        <v>S001</v>
      </c>
      <c r="D179" s="5" t="str" cm="1">
        <f t="array" aca="1" ref="D179" ca="1">INDEX({"Mumbai","Delhi","Bangalore","Ahmedabad","Chennai"}, RANDBETWEEN(1,5))</f>
        <v>Mumbai</v>
      </c>
      <c r="E179" s="5" t="str" cm="1">
        <f t="array" aca="1" ref="E179" ca="1">INDEX({"Electronics","Groceries","Furniture","Clothing","Stationery"}, RANDBETWEEN(1,5))</f>
        <v>Furniture</v>
      </c>
      <c r="F179" s="5" t="str">
        <f t="shared" ca="1" si="11"/>
        <v>Rice 5kg</v>
      </c>
      <c r="G179" s="8">
        <f t="shared" ca="1" si="12"/>
        <v>52</v>
      </c>
      <c r="H179" s="10">
        <f t="shared" ca="1" si="13"/>
        <v>250</v>
      </c>
      <c r="I179" s="10">
        <f t="shared" ca="1" si="14"/>
        <v>13000</v>
      </c>
      <c r="J179" s="10">
        <f ca="1">Table2[[#This Row],[Unit Price]] * RANDBETWEEN(70,90)/100</f>
        <v>202.5</v>
      </c>
      <c r="K179" s="12">
        <f ca="1">(Table2[[#This Row],[Unit Price]] - Table2[[#This Row],[Cost per Unit]]) * Table2[[#This Row],[Units Sold]]</f>
        <v>2470</v>
      </c>
    </row>
    <row r="180" spans="1:11" ht="15.6" x14ac:dyDescent="0.3">
      <c r="A180" s="5" cm="1">
        <f t="array" ref="A180">1000 + ROW(180:180)</f>
        <v>1180</v>
      </c>
      <c r="B180" s="6">
        <f t="shared" ca="1" si="10"/>
        <v>45355</v>
      </c>
      <c r="C180" s="5" t="str" cm="1">
        <f t="array" aca="1" ref="C180" ca="1">INDEX({"S001","S002","S003","S004","S005"}, RANDBETWEEN(1,5))</f>
        <v>S003</v>
      </c>
      <c r="D180" s="5" t="str" cm="1">
        <f t="array" aca="1" ref="D180" ca="1">INDEX({"Mumbai","Delhi","Bangalore","Ahmedabad","Chennai"}, RANDBETWEEN(1,5))</f>
        <v>Chennai</v>
      </c>
      <c r="E180" s="5" t="str" cm="1">
        <f t="array" aca="1" ref="E180" ca="1">INDEX({"Electronics","Groceries","Furniture","Clothing","Stationery"}, RANDBETWEEN(1,5))</f>
        <v>Stationery</v>
      </c>
      <c r="F180" s="5" t="str">
        <f t="shared" ca="1" si="11"/>
        <v>Smartphone</v>
      </c>
      <c r="G180" s="8">
        <f t="shared" ca="1" si="12"/>
        <v>2</v>
      </c>
      <c r="H180" s="10">
        <f t="shared" ca="1" si="13"/>
        <v>1200</v>
      </c>
      <c r="I180" s="10">
        <f t="shared" ca="1" si="14"/>
        <v>2400</v>
      </c>
      <c r="J180" s="10">
        <f ca="1">Table2[[#This Row],[Unit Price]] * RANDBETWEEN(70,90)/100</f>
        <v>960</v>
      </c>
      <c r="K180" s="12">
        <f ca="1">(Table2[[#This Row],[Unit Price]] - Table2[[#This Row],[Cost per Unit]]) * Table2[[#This Row],[Units Sold]]</f>
        <v>480</v>
      </c>
    </row>
    <row r="181" spans="1:11" ht="15.6" x14ac:dyDescent="0.3">
      <c r="A181" s="5" cm="1">
        <f t="array" ref="A181">1000 + ROW(181:181)</f>
        <v>1181</v>
      </c>
      <c r="B181" s="6">
        <f t="shared" ca="1" si="10"/>
        <v>45300</v>
      </c>
      <c r="C181" s="5" t="str" cm="1">
        <f t="array" aca="1" ref="C181" ca="1">INDEX({"S001","S002","S003","S004","S005"}, RANDBETWEEN(1,5))</f>
        <v>S003</v>
      </c>
      <c r="D181" s="5" t="str" cm="1">
        <f t="array" aca="1" ref="D181" ca="1">INDEX({"Mumbai","Delhi","Bangalore","Ahmedabad","Chennai"}, RANDBETWEEN(1,5))</f>
        <v>Bangalore</v>
      </c>
      <c r="E181" s="5" t="str" cm="1">
        <f t="array" aca="1" ref="E181" ca="1">INDEX({"Electronics","Groceries","Furniture","Clothing","Stationery"}, RANDBETWEEN(1,5))</f>
        <v>Furniture</v>
      </c>
      <c r="F181" s="5" t="str">
        <f t="shared" ca="1" si="11"/>
        <v>Rice 5kg</v>
      </c>
      <c r="G181" s="8">
        <f t="shared" ca="1" si="12"/>
        <v>58</v>
      </c>
      <c r="H181" s="10">
        <f t="shared" ca="1" si="13"/>
        <v>15000</v>
      </c>
      <c r="I181" s="10">
        <f t="shared" ca="1" si="14"/>
        <v>870000</v>
      </c>
      <c r="J181" s="10">
        <f ca="1">Table2[[#This Row],[Unit Price]] * RANDBETWEEN(70,90)/100</f>
        <v>12750</v>
      </c>
      <c r="K181" s="12">
        <f ca="1">(Table2[[#This Row],[Unit Price]] - Table2[[#This Row],[Cost per Unit]]) * Table2[[#This Row],[Units Sold]]</f>
        <v>130500</v>
      </c>
    </row>
    <row r="182" spans="1:11" ht="15.6" x14ac:dyDescent="0.3">
      <c r="A182" s="5" cm="1">
        <f t="array" ref="A182">1000 + ROW(182:182)</f>
        <v>1182</v>
      </c>
      <c r="B182" s="6">
        <f t="shared" ca="1" si="10"/>
        <v>45321</v>
      </c>
      <c r="C182" s="5" t="str" cm="1">
        <f t="array" aca="1" ref="C182" ca="1">INDEX({"S001","S002","S003","S004","S005"}, RANDBETWEEN(1,5))</f>
        <v>S005</v>
      </c>
      <c r="D182" s="5" t="str" cm="1">
        <f t="array" aca="1" ref="D182" ca="1">INDEX({"Mumbai","Delhi","Bangalore","Ahmedabad","Chennai"}, RANDBETWEEN(1,5))</f>
        <v>Delhi</v>
      </c>
      <c r="E182" s="5" t="str" cm="1">
        <f t="array" aca="1" ref="E182" ca="1">INDEX({"Electronics","Groceries","Furniture","Clothing","Stationery"}, RANDBETWEEN(1,5))</f>
        <v>Stationery</v>
      </c>
      <c r="F182" s="5" t="str">
        <f t="shared" ca="1" si="11"/>
        <v>T-shirt</v>
      </c>
      <c r="G182" s="8">
        <f t="shared" ca="1" si="12"/>
        <v>65</v>
      </c>
      <c r="H182" s="10">
        <f t="shared" ca="1" si="13"/>
        <v>50</v>
      </c>
      <c r="I182" s="10">
        <f t="shared" ca="1" si="14"/>
        <v>3250</v>
      </c>
      <c r="J182" s="10">
        <f ca="1">Table2[[#This Row],[Unit Price]] * RANDBETWEEN(70,90)/100</f>
        <v>37</v>
      </c>
      <c r="K182" s="12">
        <f ca="1">(Table2[[#This Row],[Unit Price]] - Table2[[#This Row],[Cost per Unit]]) * Table2[[#This Row],[Units Sold]]</f>
        <v>845</v>
      </c>
    </row>
    <row r="183" spans="1:11" ht="15.6" x14ac:dyDescent="0.3">
      <c r="A183" s="5" cm="1">
        <f t="array" ref="A183">1000 + ROW(183:183)</f>
        <v>1183</v>
      </c>
      <c r="B183" s="6">
        <f t="shared" ca="1" si="10"/>
        <v>45343</v>
      </c>
      <c r="C183" s="5" t="str" cm="1">
        <f t="array" aca="1" ref="C183" ca="1">INDEX({"S001","S002","S003","S004","S005"}, RANDBETWEEN(1,5))</f>
        <v>S001</v>
      </c>
      <c r="D183" s="5" t="str" cm="1">
        <f t="array" aca="1" ref="D183" ca="1">INDEX({"Mumbai","Delhi","Bangalore","Ahmedabad","Chennai"}, RANDBETWEEN(1,5))</f>
        <v>Chennai</v>
      </c>
      <c r="E183" s="5" t="str" cm="1">
        <f t="array" aca="1" ref="E183" ca="1">INDEX({"Electronics","Groceries","Furniture","Clothing","Stationery"}, RANDBETWEEN(1,5))</f>
        <v>Stationery</v>
      </c>
      <c r="F183" s="5" t="str">
        <f t="shared" ca="1" si="11"/>
        <v>Office Chair</v>
      </c>
      <c r="G183" s="8">
        <f t="shared" ca="1" si="12"/>
        <v>69</v>
      </c>
      <c r="H183" s="10">
        <f t="shared" ca="1" si="13"/>
        <v>500</v>
      </c>
      <c r="I183" s="10">
        <f t="shared" ca="1" si="14"/>
        <v>34500</v>
      </c>
      <c r="J183" s="10">
        <f ca="1">Table2[[#This Row],[Unit Price]] * RANDBETWEEN(70,90)/100</f>
        <v>405</v>
      </c>
      <c r="K183" s="12">
        <f ca="1">(Table2[[#This Row],[Unit Price]] - Table2[[#This Row],[Cost per Unit]]) * Table2[[#This Row],[Units Sold]]</f>
        <v>6555</v>
      </c>
    </row>
    <row r="184" spans="1:11" ht="15.6" x14ac:dyDescent="0.3">
      <c r="A184" s="5" cm="1">
        <f t="array" ref="A184">1000 + ROW(184:184)</f>
        <v>1184</v>
      </c>
      <c r="B184" s="6">
        <f t="shared" ca="1" si="10"/>
        <v>45356</v>
      </c>
      <c r="C184" s="5" t="str" cm="1">
        <f t="array" aca="1" ref="C184" ca="1">INDEX({"S001","S002","S003","S004","S005"}, RANDBETWEEN(1,5))</f>
        <v>S004</v>
      </c>
      <c r="D184" s="5" t="str" cm="1">
        <f t="array" aca="1" ref="D184" ca="1">INDEX({"Mumbai","Delhi","Bangalore","Ahmedabad","Chennai"}, RANDBETWEEN(1,5))</f>
        <v>Chennai</v>
      </c>
      <c r="E184" s="5" t="str" cm="1">
        <f t="array" aca="1" ref="E184" ca="1">INDEX({"Electronics","Groceries","Furniture","Clothing","Stationery"}, RANDBETWEEN(1,5))</f>
        <v>Electronics</v>
      </c>
      <c r="F184" s="5" t="str">
        <f t="shared" ca="1" si="11"/>
        <v>Desk Lamp</v>
      </c>
      <c r="G184" s="8">
        <f t="shared" ca="1" si="12"/>
        <v>53</v>
      </c>
      <c r="H184" s="10">
        <f t="shared" ca="1" si="13"/>
        <v>1200</v>
      </c>
      <c r="I184" s="10">
        <f t="shared" ca="1" si="14"/>
        <v>63600</v>
      </c>
      <c r="J184" s="10">
        <f ca="1">Table2[[#This Row],[Unit Price]] * RANDBETWEEN(70,90)/100</f>
        <v>876</v>
      </c>
      <c r="K184" s="12">
        <f ca="1">(Table2[[#This Row],[Unit Price]] - Table2[[#This Row],[Cost per Unit]]) * Table2[[#This Row],[Units Sold]]</f>
        <v>17172</v>
      </c>
    </row>
    <row r="185" spans="1:11" ht="15.6" x14ac:dyDescent="0.3">
      <c r="A185" s="5" cm="1">
        <f t="array" ref="A185">1000 + ROW(185:185)</f>
        <v>1185</v>
      </c>
      <c r="B185" s="6">
        <f t="shared" ca="1" si="10"/>
        <v>45302</v>
      </c>
      <c r="C185" s="5" t="str" cm="1">
        <f t="array" aca="1" ref="C185" ca="1">INDEX({"S001","S002","S003","S004","S005"}, RANDBETWEEN(1,5))</f>
        <v>S005</v>
      </c>
      <c r="D185" s="5" t="str" cm="1">
        <f t="array" aca="1" ref="D185" ca="1">INDEX({"Mumbai","Delhi","Bangalore","Ahmedabad","Chennai"}, RANDBETWEEN(1,5))</f>
        <v>Chennai</v>
      </c>
      <c r="E185" s="5" t="str" cm="1">
        <f t="array" aca="1" ref="E185" ca="1">INDEX({"Electronics","Groceries","Furniture","Clothing","Stationery"}, RANDBETWEEN(1,5))</f>
        <v>Furniture</v>
      </c>
      <c r="F185" s="5" t="str">
        <f t="shared" ca="1" si="11"/>
        <v>Notebook</v>
      </c>
      <c r="G185" s="8">
        <f t="shared" ca="1" si="12"/>
        <v>8</v>
      </c>
      <c r="H185" s="10">
        <f t="shared" ca="1" si="13"/>
        <v>50</v>
      </c>
      <c r="I185" s="10">
        <f t="shared" ca="1" si="14"/>
        <v>400</v>
      </c>
      <c r="J185" s="10">
        <f ca="1">Table2[[#This Row],[Unit Price]] * RANDBETWEEN(70,90)/100</f>
        <v>36</v>
      </c>
      <c r="K185" s="12">
        <f ca="1">(Table2[[#This Row],[Unit Price]] - Table2[[#This Row],[Cost per Unit]]) * Table2[[#This Row],[Units Sold]]</f>
        <v>112</v>
      </c>
    </row>
    <row r="186" spans="1:11" ht="15.6" x14ac:dyDescent="0.3">
      <c r="A186" s="5" cm="1">
        <f t="array" ref="A186">1000 + ROW(186:186)</f>
        <v>1186</v>
      </c>
      <c r="B186" s="6">
        <f t="shared" ca="1" si="10"/>
        <v>45381</v>
      </c>
      <c r="C186" s="5" t="str" cm="1">
        <f t="array" aca="1" ref="C186" ca="1">INDEX({"S001","S002","S003","S004","S005"}, RANDBETWEEN(1,5))</f>
        <v>S001</v>
      </c>
      <c r="D186" s="5" t="str" cm="1">
        <f t="array" aca="1" ref="D186" ca="1">INDEX({"Mumbai","Delhi","Bangalore","Ahmedabad","Chennai"}, RANDBETWEEN(1,5))</f>
        <v>Delhi</v>
      </c>
      <c r="E186" s="5" t="str" cm="1">
        <f t="array" aca="1" ref="E186" ca="1">INDEX({"Electronics","Groceries","Furniture","Clothing","Stationery"}, RANDBETWEEN(1,5))</f>
        <v>Furniture</v>
      </c>
      <c r="F186" s="5" t="str">
        <f t="shared" ca="1" si="11"/>
        <v>Cooking Oil 1L</v>
      </c>
      <c r="G186" s="8">
        <f t="shared" ca="1" si="12"/>
        <v>39</v>
      </c>
      <c r="H186" s="10">
        <f t="shared" ca="1" si="13"/>
        <v>500</v>
      </c>
      <c r="I186" s="10">
        <f t="shared" ca="1" si="14"/>
        <v>19500</v>
      </c>
      <c r="J186" s="10">
        <f ca="1">Table2[[#This Row],[Unit Price]] * RANDBETWEEN(70,90)/100</f>
        <v>405</v>
      </c>
      <c r="K186" s="12">
        <f ca="1">(Table2[[#This Row],[Unit Price]] - Table2[[#This Row],[Cost per Unit]]) * Table2[[#This Row],[Units Sold]]</f>
        <v>3705</v>
      </c>
    </row>
    <row r="187" spans="1:11" ht="15.6" x14ac:dyDescent="0.3">
      <c r="A187" s="5" cm="1">
        <f t="array" ref="A187">1000 + ROW(187:187)</f>
        <v>1187</v>
      </c>
      <c r="B187" s="6">
        <f t="shared" ca="1" si="10"/>
        <v>45328</v>
      </c>
      <c r="C187" s="5" t="str" cm="1">
        <f t="array" aca="1" ref="C187" ca="1">INDEX({"S001","S002","S003","S004","S005"}, RANDBETWEEN(1,5))</f>
        <v>S002</v>
      </c>
      <c r="D187" s="5" t="str" cm="1">
        <f t="array" aca="1" ref="D187" ca="1">INDEX({"Mumbai","Delhi","Bangalore","Ahmedabad","Chennai"}, RANDBETWEEN(1,5))</f>
        <v>Bangalore</v>
      </c>
      <c r="E187" s="5" t="str" cm="1">
        <f t="array" aca="1" ref="E187" ca="1">INDEX({"Electronics","Groceries","Furniture","Clothing","Stationery"}, RANDBETWEEN(1,5))</f>
        <v>Groceries</v>
      </c>
      <c r="F187" s="5" t="str">
        <f t="shared" ca="1" si="11"/>
        <v>T-shirt</v>
      </c>
      <c r="G187" s="8">
        <f t="shared" ca="1" si="12"/>
        <v>3</v>
      </c>
      <c r="H187" s="10">
        <f t="shared" ca="1" si="13"/>
        <v>150</v>
      </c>
      <c r="I187" s="10">
        <f t="shared" ca="1" si="14"/>
        <v>450</v>
      </c>
      <c r="J187" s="10">
        <f ca="1">Table2[[#This Row],[Unit Price]] * RANDBETWEEN(70,90)/100</f>
        <v>130.5</v>
      </c>
      <c r="K187" s="12">
        <f ca="1">(Table2[[#This Row],[Unit Price]] - Table2[[#This Row],[Cost per Unit]]) * Table2[[#This Row],[Units Sold]]</f>
        <v>58.5</v>
      </c>
    </row>
    <row r="188" spans="1:11" ht="15.6" x14ac:dyDescent="0.3">
      <c r="A188" s="5" cm="1">
        <f t="array" ref="A188">1000 + ROW(188:188)</f>
        <v>1188</v>
      </c>
      <c r="B188" s="6">
        <f t="shared" ca="1" si="10"/>
        <v>45382</v>
      </c>
      <c r="C188" s="5" t="str" cm="1">
        <f t="array" aca="1" ref="C188" ca="1">INDEX({"S001","S002","S003","S004","S005"}, RANDBETWEEN(1,5))</f>
        <v>S004</v>
      </c>
      <c r="D188" s="5" t="str" cm="1">
        <f t="array" aca="1" ref="D188" ca="1">INDEX({"Mumbai","Delhi","Bangalore","Ahmedabad","Chennai"}, RANDBETWEEN(1,5))</f>
        <v>Chennai</v>
      </c>
      <c r="E188" s="5" t="str" cm="1">
        <f t="array" aca="1" ref="E188" ca="1">INDEX({"Electronics","Groceries","Furniture","Clothing","Stationery"}, RANDBETWEEN(1,5))</f>
        <v>Groceries</v>
      </c>
      <c r="F188" s="5" t="str">
        <f t="shared" ca="1" si="11"/>
        <v>Cooking Oil 1L</v>
      </c>
      <c r="G188" s="8">
        <f t="shared" ca="1" si="12"/>
        <v>98</v>
      </c>
      <c r="H188" s="10">
        <f t="shared" ca="1" si="13"/>
        <v>700</v>
      </c>
      <c r="I188" s="10">
        <f t="shared" ca="1" si="14"/>
        <v>68600</v>
      </c>
      <c r="J188" s="10">
        <f ca="1">Table2[[#This Row],[Unit Price]] * RANDBETWEEN(70,90)/100</f>
        <v>595</v>
      </c>
      <c r="K188" s="12">
        <f ca="1">(Table2[[#This Row],[Unit Price]] - Table2[[#This Row],[Cost per Unit]]) * Table2[[#This Row],[Units Sold]]</f>
        <v>10290</v>
      </c>
    </row>
    <row r="189" spans="1:11" ht="15.6" x14ac:dyDescent="0.3">
      <c r="A189" s="5" cm="1">
        <f t="array" ref="A189">1000 + ROW(189:189)</f>
        <v>1189</v>
      </c>
      <c r="B189" s="6">
        <f t="shared" ca="1" si="10"/>
        <v>45361</v>
      </c>
      <c r="C189" s="5" t="str" cm="1">
        <f t="array" aca="1" ref="C189" ca="1">INDEX({"S001","S002","S003","S004","S005"}, RANDBETWEEN(1,5))</f>
        <v>S003</v>
      </c>
      <c r="D189" s="5" t="str" cm="1">
        <f t="array" aca="1" ref="D189" ca="1">INDEX({"Mumbai","Delhi","Bangalore","Ahmedabad","Chennai"}, RANDBETWEEN(1,5))</f>
        <v>Bangalore</v>
      </c>
      <c r="E189" s="5" t="str" cm="1">
        <f t="array" aca="1" ref="E189" ca="1">INDEX({"Electronics","Groceries","Furniture","Clothing","Stationery"}, RANDBETWEEN(1,5))</f>
        <v>Electronics</v>
      </c>
      <c r="F189" s="5" t="str">
        <f t="shared" ca="1" si="11"/>
        <v>T-shirt</v>
      </c>
      <c r="G189" s="8">
        <f t="shared" ca="1" si="12"/>
        <v>32</v>
      </c>
      <c r="H189" s="10">
        <f t="shared" ca="1" si="13"/>
        <v>150</v>
      </c>
      <c r="I189" s="10">
        <f t="shared" ca="1" si="14"/>
        <v>4800</v>
      </c>
      <c r="J189" s="10">
        <f ca="1">Table2[[#This Row],[Unit Price]] * RANDBETWEEN(70,90)/100</f>
        <v>118.5</v>
      </c>
      <c r="K189" s="12">
        <f ca="1">(Table2[[#This Row],[Unit Price]] - Table2[[#This Row],[Cost per Unit]]) * Table2[[#This Row],[Units Sold]]</f>
        <v>1008</v>
      </c>
    </row>
    <row r="190" spans="1:11" ht="15.6" x14ac:dyDescent="0.3">
      <c r="A190" s="5" cm="1">
        <f t="array" ref="A190">1000 + ROW(190:190)</f>
        <v>1190</v>
      </c>
      <c r="B190" s="6">
        <f t="shared" ca="1" si="10"/>
        <v>45294</v>
      </c>
      <c r="C190" s="5" t="str" cm="1">
        <f t="array" aca="1" ref="C190" ca="1">INDEX({"S001","S002","S003","S004","S005"}, RANDBETWEEN(1,5))</f>
        <v>S001</v>
      </c>
      <c r="D190" s="5" t="str" cm="1">
        <f t="array" aca="1" ref="D190" ca="1">INDEX({"Mumbai","Delhi","Bangalore","Ahmedabad","Chennai"}, RANDBETWEEN(1,5))</f>
        <v>Ahmedabad</v>
      </c>
      <c r="E190" s="5" t="str" cm="1">
        <f t="array" aca="1" ref="E190" ca="1">INDEX({"Electronics","Groceries","Furniture","Clothing","Stationery"}, RANDBETWEEN(1,5))</f>
        <v>Stationery</v>
      </c>
      <c r="F190" s="5" t="str">
        <f t="shared" ca="1" si="11"/>
        <v>T-shirt</v>
      </c>
      <c r="G190" s="8">
        <f t="shared" ca="1" si="12"/>
        <v>61</v>
      </c>
      <c r="H190" s="10">
        <f t="shared" ca="1" si="13"/>
        <v>300</v>
      </c>
      <c r="I190" s="10">
        <f t="shared" ca="1" si="14"/>
        <v>18300</v>
      </c>
      <c r="J190" s="10">
        <f ca="1">Table2[[#This Row],[Unit Price]] * RANDBETWEEN(70,90)/100</f>
        <v>222</v>
      </c>
      <c r="K190" s="12">
        <f ca="1">(Table2[[#This Row],[Unit Price]] - Table2[[#This Row],[Cost per Unit]]) * Table2[[#This Row],[Units Sold]]</f>
        <v>4758</v>
      </c>
    </row>
    <row r="191" spans="1:11" ht="15.6" x14ac:dyDescent="0.3">
      <c r="A191" s="5" cm="1">
        <f t="array" ref="A191">1000 + ROW(191:191)</f>
        <v>1191</v>
      </c>
      <c r="B191" s="6">
        <f t="shared" ca="1" si="10"/>
        <v>45346</v>
      </c>
      <c r="C191" s="5" t="str" cm="1">
        <f t="array" aca="1" ref="C191" ca="1">INDEX({"S001","S002","S003","S004","S005"}, RANDBETWEEN(1,5))</f>
        <v>S004</v>
      </c>
      <c r="D191" s="5" t="str" cm="1">
        <f t="array" aca="1" ref="D191" ca="1">INDEX({"Mumbai","Delhi","Bangalore","Ahmedabad","Chennai"}, RANDBETWEEN(1,5))</f>
        <v>Bangalore</v>
      </c>
      <c r="E191" s="5" t="str" cm="1">
        <f t="array" aca="1" ref="E191" ca="1">INDEX({"Electronics","Groceries","Furniture","Clothing","Stationery"}, RANDBETWEEN(1,5))</f>
        <v>Clothing</v>
      </c>
      <c r="F191" s="5" t="str">
        <f t="shared" ca="1" si="11"/>
        <v>Office Chair</v>
      </c>
      <c r="G191" s="8">
        <f t="shared" ca="1" si="12"/>
        <v>91</v>
      </c>
      <c r="H191" s="10">
        <f t="shared" ca="1" si="13"/>
        <v>30000</v>
      </c>
      <c r="I191" s="10">
        <f t="shared" ca="1" si="14"/>
        <v>2730000</v>
      </c>
      <c r="J191" s="10">
        <f ca="1">Table2[[#This Row],[Unit Price]] * RANDBETWEEN(70,90)/100</f>
        <v>25200</v>
      </c>
      <c r="K191" s="12">
        <f ca="1">(Table2[[#This Row],[Unit Price]] - Table2[[#This Row],[Cost per Unit]]) * Table2[[#This Row],[Units Sold]]</f>
        <v>436800</v>
      </c>
    </row>
    <row r="192" spans="1:11" ht="15.6" x14ac:dyDescent="0.3">
      <c r="A192" s="5" cm="1">
        <f t="array" ref="A192">1000 + ROW(192:192)</f>
        <v>1192</v>
      </c>
      <c r="B192" s="6">
        <f t="shared" ca="1" si="10"/>
        <v>45359</v>
      </c>
      <c r="C192" s="5" t="str" cm="1">
        <f t="array" aca="1" ref="C192" ca="1">INDEX({"S001","S002","S003","S004","S005"}, RANDBETWEEN(1,5))</f>
        <v>S003</v>
      </c>
      <c r="D192" s="5" t="str" cm="1">
        <f t="array" aca="1" ref="D192" ca="1">INDEX({"Mumbai","Delhi","Bangalore","Ahmedabad","Chennai"}, RANDBETWEEN(1,5))</f>
        <v>Chennai</v>
      </c>
      <c r="E192" s="5" t="str" cm="1">
        <f t="array" aca="1" ref="E192" ca="1">INDEX({"Electronics","Groceries","Furniture","Clothing","Stationery"}, RANDBETWEEN(1,5))</f>
        <v>Groceries</v>
      </c>
      <c r="F192" s="5" t="str">
        <f t="shared" ca="1" si="11"/>
        <v>Laptop</v>
      </c>
      <c r="G192" s="8">
        <f t="shared" ca="1" si="12"/>
        <v>20</v>
      </c>
      <c r="H192" s="10">
        <f t="shared" ca="1" si="13"/>
        <v>250</v>
      </c>
      <c r="I192" s="10">
        <f t="shared" ca="1" si="14"/>
        <v>5000</v>
      </c>
      <c r="J192" s="10">
        <f ca="1">Table2[[#This Row],[Unit Price]] * RANDBETWEEN(70,90)/100</f>
        <v>225</v>
      </c>
      <c r="K192" s="12">
        <f ca="1">(Table2[[#This Row],[Unit Price]] - Table2[[#This Row],[Cost per Unit]]) * Table2[[#This Row],[Units Sold]]</f>
        <v>500</v>
      </c>
    </row>
    <row r="193" spans="1:11" ht="15.6" x14ac:dyDescent="0.3">
      <c r="A193" s="5" cm="1">
        <f t="array" ref="A193">1000 + ROW(193:193)</f>
        <v>1193</v>
      </c>
      <c r="B193" s="6">
        <f t="shared" ca="1" si="10"/>
        <v>45373</v>
      </c>
      <c r="C193" s="5" t="str" cm="1">
        <f t="array" aca="1" ref="C193" ca="1">INDEX({"S001","S002","S003","S004","S005"}, RANDBETWEEN(1,5))</f>
        <v>S003</v>
      </c>
      <c r="D193" s="5" t="str" cm="1">
        <f t="array" aca="1" ref="D193" ca="1">INDEX({"Mumbai","Delhi","Bangalore","Ahmedabad","Chennai"}, RANDBETWEEN(1,5))</f>
        <v>Delhi</v>
      </c>
      <c r="E193" s="5" t="str" cm="1">
        <f t="array" aca="1" ref="E193" ca="1">INDEX({"Electronics","Groceries","Furniture","Clothing","Stationery"}, RANDBETWEEN(1,5))</f>
        <v>Groceries</v>
      </c>
      <c r="F193" s="5" t="str">
        <f t="shared" ca="1" si="11"/>
        <v>Desk Lamp</v>
      </c>
      <c r="G193" s="8">
        <f t="shared" ca="1" si="12"/>
        <v>8</v>
      </c>
      <c r="H193" s="10">
        <f t="shared" ca="1" si="13"/>
        <v>30000</v>
      </c>
      <c r="I193" s="10">
        <f t="shared" ca="1" si="14"/>
        <v>240000</v>
      </c>
      <c r="J193" s="10">
        <f ca="1">Table2[[#This Row],[Unit Price]] * RANDBETWEEN(70,90)/100</f>
        <v>25500</v>
      </c>
      <c r="K193" s="12">
        <f ca="1">(Table2[[#This Row],[Unit Price]] - Table2[[#This Row],[Cost per Unit]]) * Table2[[#This Row],[Units Sold]]</f>
        <v>36000</v>
      </c>
    </row>
    <row r="194" spans="1:11" ht="15.6" x14ac:dyDescent="0.3">
      <c r="A194" s="5" cm="1">
        <f t="array" ref="A194">1000 + ROW(194:194)</f>
        <v>1194</v>
      </c>
      <c r="B194" s="6">
        <f t="shared" ref="B194:B257" ca="1" si="15">RANDBETWEEN(DATE(2024,1,1), DATE(2024,3,31))</f>
        <v>45319</v>
      </c>
      <c r="C194" s="5" t="str" cm="1">
        <f t="array" aca="1" ref="C194" ca="1">INDEX({"S001","S002","S003","S004","S005"}, RANDBETWEEN(1,5))</f>
        <v>S001</v>
      </c>
      <c r="D194" s="5" t="str" cm="1">
        <f t="array" aca="1" ref="D194" ca="1">INDEX({"Mumbai","Delhi","Bangalore","Ahmedabad","Chennai"}, RANDBETWEEN(1,5))</f>
        <v>Delhi</v>
      </c>
      <c r="E194" s="5" t="str" cm="1">
        <f t="array" aca="1" ref="E194" ca="1">INDEX({"Electronics","Groceries","Furniture","Clothing","Stationery"}, RANDBETWEEN(1,5))</f>
        <v>Stationery</v>
      </c>
      <c r="F194" s="5" t="str">
        <f t="shared" ref="F194:F257" ca="1" si="16">CHOOSE(RANDBETWEEN(1,10),
 "Smartphone","Laptop","Rice 5kg","Cooking Oil 1L",
 "Office Chair","Table","T-shirt","Notebook",
 "Desk Lamp","Shampoo")</f>
        <v>Desk Lamp</v>
      </c>
      <c r="G194" s="8">
        <f t="shared" ref="G194:G257" ca="1" si="17">RANDBETWEEN(1,100)</f>
        <v>35</v>
      </c>
      <c r="H194" s="10">
        <f t="shared" ref="H194:H257" ca="1" si="18">CHOOSE(RANDBETWEEN(1,10), 15000, 30000, 250, 500, 1200, 700, 300, 50, 900, 150)</f>
        <v>30000</v>
      </c>
      <c r="I194" s="10">
        <f t="shared" ref="I194:I257" ca="1" si="19">G194 * H194</f>
        <v>1050000</v>
      </c>
      <c r="J194" s="10">
        <f ca="1">Table2[[#This Row],[Unit Price]] * RANDBETWEEN(70,90)/100</f>
        <v>23100</v>
      </c>
      <c r="K194" s="12">
        <f ca="1">(Table2[[#This Row],[Unit Price]] - Table2[[#This Row],[Cost per Unit]]) * Table2[[#This Row],[Units Sold]]</f>
        <v>241500</v>
      </c>
    </row>
    <row r="195" spans="1:11" ht="15.6" x14ac:dyDescent="0.3">
      <c r="A195" s="5" cm="1">
        <f t="array" ref="A195">1000 + ROW(195:195)</f>
        <v>1195</v>
      </c>
      <c r="B195" s="6">
        <f t="shared" ca="1" si="15"/>
        <v>45331</v>
      </c>
      <c r="C195" s="5" t="str" cm="1">
        <f t="array" aca="1" ref="C195" ca="1">INDEX({"S001","S002","S003","S004","S005"}, RANDBETWEEN(1,5))</f>
        <v>S004</v>
      </c>
      <c r="D195" s="5" t="str" cm="1">
        <f t="array" aca="1" ref="D195" ca="1">INDEX({"Mumbai","Delhi","Bangalore","Ahmedabad","Chennai"}, RANDBETWEEN(1,5))</f>
        <v>Chennai</v>
      </c>
      <c r="E195" s="5" t="str" cm="1">
        <f t="array" aca="1" ref="E195" ca="1">INDEX({"Electronics","Groceries","Furniture","Clothing","Stationery"}, RANDBETWEEN(1,5))</f>
        <v>Stationery</v>
      </c>
      <c r="F195" s="5" t="str">
        <f t="shared" ca="1" si="16"/>
        <v>Desk Lamp</v>
      </c>
      <c r="G195" s="8">
        <f t="shared" ca="1" si="17"/>
        <v>29</v>
      </c>
      <c r="H195" s="10">
        <f t="shared" ca="1" si="18"/>
        <v>1200</v>
      </c>
      <c r="I195" s="10">
        <f t="shared" ca="1" si="19"/>
        <v>34800</v>
      </c>
      <c r="J195" s="10">
        <f ca="1">Table2[[#This Row],[Unit Price]] * RANDBETWEEN(70,90)/100</f>
        <v>936</v>
      </c>
      <c r="K195" s="12">
        <f ca="1">(Table2[[#This Row],[Unit Price]] - Table2[[#This Row],[Cost per Unit]]) * Table2[[#This Row],[Units Sold]]</f>
        <v>7656</v>
      </c>
    </row>
    <row r="196" spans="1:11" ht="15.6" x14ac:dyDescent="0.3">
      <c r="A196" s="5" cm="1">
        <f t="array" ref="A196">1000 + ROW(195:195)</f>
        <v>1195</v>
      </c>
      <c r="B196" s="6">
        <f t="shared" ca="1" si="15"/>
        <v>45375</v>
      </c>
      <c r="C196" s="5" t="str" cm="1">
        <f t="array" aca="1" ref="C196" ca="1">INDEX({"S001","S002","S003","S004","S005"}, RANDBETWEEN(1,5))</f>
        <v>S005</v>
      </c>
      <c r="D196" s="5" t="str" cm="1">
        <f t="array" aca="1" ref="D196" ca="1">INDEX({"Mumbai","Delhi","Bangalore","Ahmedabad","Chennai"}, RANDBETWEEN(1,5))</f>
        <v>Chennai</v>
      </c>
      <c r="E196" s="5" t="str" cm="1">
        <f t="array" aca="1" ref="E196" ca="1">INDEX({"Electronics","Groceries","Furniture","Clothing","Stationery"}, RANDBETWEEN(1,5))</f>
        <v>Stationery</v>
      </c>
      <c r="F196" s="5" t="str">
        <f t="shared" ca="1" si="16"/>
        <v>Shampoo</v>
      </c>
      <c r="G196" s="8">
        <f t="shared" ca="1" si="17"/>
        <v>32</v>
      </c>
      <c r="H196" s="10">
        <f t="shared" ca="1" si="18"/>
        <v>1200</v>
      </c>
      <c r="I196" s="10">
        <f t="shared" ca="1" si="19"/>
        <v>38400</v>
      </c>
      <c r="J196" s="10">
        <f ca="1">Table2[[#This Row],[Unit Price]] * RANDBETWEEN(70,90)/100</f>
        <v>900</v>
      </c>
      <c r="K196" s="12">
        <f ca="1">(Table2[[#This Row],[Unit Price]] - Table2[[#This Row],[Cost per Unit]]) * Table2[[#This Row],[Units Sold]]</f>
        <v>9600</v>
      </c>
    </row>
    <row r="197" spans="1:11" ht="15.6" x14ac:dyDescent="0.3">
      <c r="A197" s="5" cm="1">
        <f t="array" ref="A197">1000 + ROW(197:197)</f>
        <v>1197</v>
      </c>
      <c r="B197" s="6">
        <f t="shared" ca="1" si="15"/>
        <v>45371</v>
      </c>
      <c r="C197" s="5" t="str" cm="1">
        <f t="array" aca="1" ref="C197" ca="1">INDEX({"S001","S002","S003","S004","S005"}, RANDBETWEEN(1,5))</f>
        <v>S002</v>
      </c>
      <c r="D197" s="5" t="str" cm="1">
        <f t="array" aca="1" ref="D197" ca="1">INDEX({"Mumbai","Delhi","Bangalore","Ahmedabad","Chennai"}, RANDBETWEEN(1,5))</f>
        <v>Ahmedabad</v>
      </c>
      <c r="E197" s="5" t="str" cm="1">
        <f t="array" aca="1" ref="E197" ca="1">INDEX({"Electronics","Groceries","Furniture","Clothing","Stationery"}, RANDBETWEEN(1,5))</f>
        <v>Stationery</v>
      </c>
      <c r="F197" s="5" t="str">
        <f t="shared" ca="1" si="16"/>
        <v>Smartphone</v>
      </c>
      <c r="G197" s="8">
        <f t="shared" ca="1" si="17"/>
        <v>8</v>
      </c>
      <c r="H197" s="10">
        <f t="shared" ca="1" si="18"/>
        <v>150</v>
      </c>
      <c r="I197" s="10">
        <f t="shared" ca="1" si="19"/>
        <v>1200</v>
      </c>
      <c r="J197" s="10">
        <f ca="1">Table2[[#This Row],[Unit Price]] * RANDBETWEEN(70,90)/100</f>
        <v>127.5</v>
      </c>
      <c r="K197" s="12">
        <f ca="1">(Table2[[#This Row],[Unit Price]] - Table2[[#This Row],[Cost per Unit]]) * Table2[[#This Row],[Units Sold]]</f>
        <v>180</v>
      </c>
    </row>
    <row r="198" spans="1:11" ht="15.6" x14ac:dyDescent="0.3">
      <c r="A198" s="5" cm="1">
        <f t="array" ref="A198">1000 + ROW(198:198)</f>
        <v>1198</v>
      </c>
      <c r="B198" s="6">
        <f t="shared" ca="1" si="15"/>
        <v>45353</v>
      </c>
      <c r="C198" s="5" t="str" cm="1">
        <f t="array" aca="1" ref="C198" ca="1">INDEX({"S001","S002","S003","S004","S005"}, RANDBETWEEN(1,5))</f>
        <v>S003</v>
      </c>
      <c r="D198" s="5" t="str" cm="1">
        <f t="array" aca="1" ref="D198" ca="1">INDEX({"Mumbai","Delhi","Bangalore","Ahmedabad","Chennai"}, RANDBETWEEN(1,5))</f>
        <v>Delhi</v>
      </c>
      <c r="E198" s="5" t="str" cm="1">
        <f t="array" aca="1" ref="E198" ca="1">INDEX({"Electronics","Groceries","Furniture","Clothing","Stationery"}, RANDBETWEEN(1,5))</f>
        <v>Furniture</v>
      </c>
      <c r="F198" s="5" t="str">
        <f t="shared" ca="1" si="16"/>
        <v>Laptop</v>
      </c>
      <c r="G198" s="8">
        <f t="shared" ca="1" si="17"/>
        <v>19</v>
      </c>
      <c r="H198" s="10">
        <f t="shared" ca="1" si="18"/>
        <v>50</v>
      </c>
      <c r="I198" s="10">
        <f t="shared" ca="1" si="19"/>
        <v>950</v>
      </c>
      <c r="J198" s="10">
        <f ca="1">Table2[[#This Row],[Unit Price]] * RANDBETWEEN(70,90)/100</f>
        <v>42</v>
      </c>
      <c r="K198" s="12">
        <f ca="1">(Table2[[#This Row],[Unit Price]] - Table2[[#This Row],[Cost per Unit]]) * Table2[[#This Row],[Units Sold]]</f>
        <v>152</v>
      </c>
    </row>
    <row r="199" spans="1:11" ht="15.6" x14ac:dyDescent="0.3">
      <c r="A199" s="5" cm="1">
        <f t="array" ref="A199">1000 + ROW(199:199)</f>
        <v>1199</v>
      </c>
      <c r="B199" s="6">
        <f t="shared" ca="1" si="15"/>
        <v>45310</v>
      </c>
      <c r="C199" s="5" t="str" cm="1">
        <f t="array" aca="1" ref="C199" ca="1">INDEX({"S001","S002","S003","S004","S005"}, RANDBETWEEN(1,5))</f>
        <v>S003</v>
      </c>
      <c r="D199" s="5" t="str" cm="1">
        <f t="array" aca="1" ref="D199" ca="1">INDEX({"Mumbai","Delhi","Bangalore","Ahmedabad","Chennai"}, RANDBETWEEN(1,5))</f>
        <v>Bangalore</v>
      </c>
      <c r="E199" s="5" t="str" cm="1">
        <f t="array" aca="1" ref="E199" ca="1">INDEX({"Electronics","Groceries","Furniture","Clothing","Stationery"}, RANDBETWEEN(1,5))</f>
        <v>Groceries</v>
      </c>
      <c r="F199" s="5" t="str">
        <f t="shared" ca="1" si="16"/>
        <v>Laptop</v>
      </c>
      <c r="G199" s="8">
        <f t="shared" ca="1" si="17"/>
        <v>1</v>
      </c>
      <c r="H199" s="10">
        <f t="shared" ca="1" si="18"/>
        <v>250</v>
      </c>
      <c r="I199" s="10">
        <f t="shared" ca="1" si="19"/>
        <v>250</v>
      </c>
      <c r="J199" s="10">
        <f ca="1">Table2[[#This Row],[Unit Price]] * RANDBETWEEN(70,90)/100</f>
        <v>222.5</v>
      </c>
      <c r="K199" s="12">
        <f ca="1">(Table2[[#This Row],[Unit Price]] - Table2[[#This Row],[Cost per Unit]]) * Table2[[#This Row],[Units Sold]]</f>
        <v>27.5</v>
      </c>
    </row>
    <row r="200" spans="1:11" ht="15.6" x14ac:dyDescent="0.3">
      <c r="A200" s="5" cm="1">
        <f t="array" ref="A200">1000 + ROW(200:200)</f>
        <v>1200</v>
      </c>
      <c r="B200" s="6">
        <f t="shared" ca="1" si="15"/>
        <v>45311</v>
      </c>
      <c r="C200" s="5" t="str" cm="1">
        <f t="array" aca="1" ref="C200" ca="1">INDEX({"S001","S002","S003","S004","S005"}, RANDBETWEEN(1,5))</f>
        <v>S003</v>
      </c>
      <c r="D200" s="5" t="str" cm="1">
        <f t="array" aca="1" ref="D200" ca="1">INDEX({"Mumbai","Delhi","Bangalore","Ahmedabad","Chennai"}, RANDBETWEEN(1,5))</f>
        <v>Chennai</v>
      </c>
      <c r="E200" s="5" t="str" cm="1">
        <f t="array" aca="1" ref="E200" ca="1">INDEX({"Electronics","Groceries","Furniture","Clothing","Stationery"}, RANDBETWEEN(1,5))</f>
        <v>Groceries</v>
      </c>
      <c r="F200" s="5" t="str">
        <f t="shared" ca="1" si="16"/>
        <v>Smartphone</v>
      </c>
      <c r="G200" s="8">
        <f t="shared" ca="1" si="17"/>
        <v>43</v>
      </c>
      <c r="H200" s="10">
        <f t="shared" ca="1" si="18"/>
        <v>250</v>
      </c>
      <c r="I200" s="10">
        <f t="shared" ca="1" si="19"/>
        <v>10750</v>
      </c>
      <c r="J200" s="10">
        <f ca="1">Table2[[#This Row],[Unit Price]] * RANDBETWEEN(70,90)/100</f>
        <v>187.5</v>
      </c>
      <c r="K200" s="12">
        <f ca="1">(Table2[[#This Row],[Unit Price]] - Table2[[#This Row],[Cost per Unit]]) * Table2[[#This Row],[Units Sold]]</f>
        <v>2687.5</v>
      </c>
    </row>
    <row r="201" spans="1:11" ht="15.6" x14ac:dyDescent="0.3">
      <c r="A201" s="5" cm="1">
        <f t="array" ref="A201">1000 + ROW(201:201)</f>
        <v>1201</v>
      </c>
      <c r="B201" s="6">
        <f t="shared" ca="1" si="15"/>
        <v>45354</v>
      </c>
      <c r="C201" s="5" t="str" cm="1">
        <f t="array" aca="1" ref="C201" ca="1">INDEX({"S001","S002","S003","S004","S005"}, RANDBETWEEN(1,5))</f>
        <v>S001</v>
      </c>
      <c r="D201" s="5" t="str" cm="1">
        <f t="array" aca="1" ref="D201" ca="1">INDEX({"Mumbai","Delhi","Bangalore","Ahmedabad","Chennai"}, RANDBETWEEN(1,5))</f>
        <v>Ahmedabad</v>
      </c>
      <c r="E201" s="5" t="str" cm="1">
        <f t="array" aca="1" ref="E201" ca="1">INDEX({"Electronics","Groceries","Furniture","Clothing","Stationery"}, RANDBETWEEN(1,5))</f>
        <v>Stationery</v>
      </c>
      <c r="F201" s="5" t="str">
        <f t="shared" ca="1" si="16"/>
        <v>Desk Lamp</v>
      </c>
      <c r="G201" s="8">
        <f t="shared" ca="1" si="17"/>
        <v>74</v>
      </c>
      <c r="H201" s="10">
        <f t="shared" ca="1" si="18"/>
        <v>500</v>
      </c>
      <c r="I201" s="10">
        <f t="shared" ca="1" si="19"/>
        <v>37000</v>
      </c>
      <c r="J201" s="10">
        <f ca="1">Table2[[#This Row],[Unit Price]] * RANDBETWEEN(70,90)/100</f>
        <v>405</v>
      </c>
      <c r="K201" s="12">
        <f ca="1">(Table2[[#This Row],[Unit Price]] - Table2[[#This Row],[Cost per Unit]]) * Table2[[#This Row],[Units Sold]]</f>
        <v>7030</v>
      </c>
    </row>
    <row r="202" spans="1:11" ht="15.6" x14ac:dyDescent="0.3">
      <c r="A202" s="5" cm="1">
        <f t="array" ref="A202">1000 + ROW(202:202)</f>
        <v>1202</v>
      </c>
      <c r="B202" s="6">
        <f t="shared" ca="1" si="15"/>
        <v>45377</v>
      </c>
      <c r="C202" s="5" t="str" cm="1">
        <f t="array" aca="1" ref="C202" ca="1">INDEX({"S001","S002","S003","S004","S005"}, RANDBETWEEN(1,5))</f>
        <v>S005</v>
      </c>
      <c r="D202" s="5" t="str" cm="1">
        <f t="array" aca="1" ref="D202" ca="1">INDEX({"Mumbai","Delhi","Bangalore","Ahmedabad","Chennai"}, RANDBETWEEN(1,5))</f>
        <v>Chennai</v>
      </c>
      <c r="E202" s="5" t="str" cm="1">
        <f t="array" aca="1" ref="E202" ca="1">INDEX({"Electronics","Groceries","Furniture","Clothing","Stationery"}, RANDBETWEEN(1,5))</f>
        <v>Electronics</v>
      </c>
      <c r="F202" s="5" t="str">
        <f t="shared" ca="1" si="16"/>
        <v>Shampoo</v>
      </c>
      <c r="G202" s="8">
        <f t="shared" ca="1" si="17"/>
        <v>71</v>
      </c>
      <c r="H202" s="10">
        <f t="shared" ca="1" si="18"/>
        <v>700</v>
      </c>
      <c r="I202" s="10">
        <f t="shared" ca="1" si="19"/>
        <v>49700</v>
      </c>
      <c r="J202" s="10">
        <f ca="1">Table2[[#This Row],[Unit Price]] * RANDBETWEEN(70,90)/100</f>
        <v>574</v>
      </c>
      <c r="K202" s="12">
        <f ca="1">(Table2[[#This Row],[Unit Price]] - Table2[[#This Row],[Cost per Unit]]) * Table2[[#This Row],[Units Sold]]</f>
        <v>8946</v>
      </c>
    </row>
    <row r="203" spans="1:11" ht="15.6" x14ac:dyDescent="0.3">
      <c r="A203" s="5" cm="1">
        <f t="array" ref="A203">1000 + ROW(203:203)</f>
        <v>1203</v>
      </c>
      <c r="B203" s="6">
        <f t="shared" ca="1" si="15"/>
        <v>45322</v>
      </c>
      <c r="C203" s="5" t="str" cm="1">
        <f t="array" aca="1" ref="C203" ca="1">INDEX({"S001","S002","S003","S004","S005"}, RANDBETWEEN(1,5))</f>
        <v>S003</v>
      </c>
      <c r="D203" s="5" t="str" cm="1">
        <f t="array" aca="1" ref="D203" ca="1">INDEX({"Mumbai","Delhi","Bangalore","Ahmedabad","Chennai"}, RANDBETWEEN(1,5))</f>
        <v>Mumbai</v>
      </c>
      <c r="E203" s="5" t="str" cm="1">
        <f t="array" aca="1" ref="E203" ca="1">INDEX({"Electronics","Groceries","Furniture","Clothing","Stationery"}, RANDBETWEEN(1,5))</f>
        <v>Clothing</v>
      </c>
      <c r="F203" s="5" t="str">
        <f t="shared" ca="1" si="16"/>
        <v>Desk Lamp</v>
      </c>
      <c r="G203" s="8">
        <f t="shared" ca="1" si="17"/>
        <v>37</v>
      </c>
      <c r="H203" s="10">
        <f t="shared" ca="1" si="18"/>
        <v>250</v>
      </c>
      <c r="I203" s="10">
        <f t="shared" ca="1" si="19"/>
        <v>9250</v>
      </c>
      <c r="J203" s="10">
        <f ca="1">Table2[[#This Row],[Unit Price]] * RANDBETWEEN(70,90)/100</f>
        <v>217.5</v>
      </c>
      <c r="K203" s="12">
        <f ca="1">(Table2[[#This Row],[Unit Price]] - Table2[[#This Row],[Cost per Unit]]) * Table2[[#This Row],[Units Sold]]</f>
        <v>1202.5</v>
      </c>
    </row>
    <row r="204" spans="1:11" ht="15.6" x14ac:dyDescent="0.3">
      <c r="A204" s="5" cm="1">
        <f t="array" ref="A204">1000 + ROW(204:204)</f>
        <v>1204</v>
      </c>
      <c r="B204" s="6">
        <f t="shared" ca="1" si="15"/>
        <v>45344</v>
      </c>
      <c r="C204" s="5" t="str" cm="1">
        <f t="array" aca="1" ref="C204" ca="1">INDEX({"S001","S002","S003","S004","S005"}, RANDBETWEEN(1,5))</f>
        <v>S001</v>
      </c>
      <c r="D204" s="5" t="str" cm="1">
        <f t="array" aca="1" ref="D204" ca="1">INDEX({"Mumbai","Delhi","Bangalore","Ahmedabad","Chennai"}, RANDBETWEEN(1,5))</f>
        <v>Bangalore</v>
      </c>
      <c r="E204" s="5" t="str" cm="1">
        <f t="array" aca="1" ref="E204" ca="1">INDEX({"Electronics","Groceries","Furniture","Clothing","Stationery"}, RANDBETWEEN(1,5))</f>
        <v>Groceries</v>
      </c>
      <c r="F204" s="5" t="str">
        <f t="shared" ca="1" si="16"/>
        <v>Cooking Oil 1L</v>
      </c>
      <c r="G204" s="8">
        <f t="shared" ca="1" si="17"/>
        <v>44</v>
      </c>
      <c r="H204" s="10">
        <f t="shared" ca="1" si="18"/>
        <v>1200</v>
      </c>
      <c r="I204" s="10">
        <f t="shared" ca="1" si="19"/>
        <v>52800</v>
      </c>
      <c r="J204" s="10">
        <f ca="1">Table2[[#This Row],[Unit Price]] * RANDBETWEEN(70,90)/100</f>
        <v>936</v>
      </c>
      <c r="K204" s="12">
        <f ca="1">(Table2[[#This Row],[Unit Price]] - Table2[[#This Row],[Cost per Unit]]) * Table2[[#This Row],[Units Sold]]</f>
        <v>11616</v>
      </c>
    </row>
    <row r="205" spans="1:11" ht="15.6" x14ac:dyDescent="0.3">
      <c r="A205" s="5" cm="1">
        <f t="array" ref="A205">1000 + ROW(205:205)</f>
        <v>1205</v>
      </c>
      <c r="B205" s="6">
        <f t="shared" ca="1" si="15"/>
        <v>45344</v>
      </c>
      <c r="C205" s="5" t="str" cm="1">
        <f t="array" aca="1" ref="C205" ca="1">INDEX({"S001","S002","S003","S004","S005"}, RANDBETWEEN(1,5))</f>
        <v>S005</v>
      </c>
      <c r="D205" s="5" t="str" cm="1">
        <f t="array" aca="1" ref="D205" ca="1">INDEX({"Mumbai","Delhi","Bangalore","Ahmedabad","Chennai"}, RANDBETWEEN(1,5))</f>
        <v>Bangalore</v>
      </c>
      <c r="E205" s="5" t="str" cm="1">
        <f t="array" aca="1" ref="E205" ca="1">INDEX({"Electronics","Groceries","Furniture","Clothing","Stationery"}, RANDBETWEEN(1,5))</f>
        <v>Groceries</v>
      </c>
      <c r="F205" s="5" t="str">
        <f t="shared" ca="1" si="16"/>
        <v>Desk Lamp</v>
      </c>
      <c r="G205" s="8">
        <f t="shared" ca="1" si="17"/>
        <v>30</v>
      </c>
      <c r="H205" s="10">
        <f t="shared" ca="1" si="18"/>
        <v>700</v>
      </c>
      <c r="I205" s="10">
        <f t="shared" ca="1" si="19"/>
        <v>21000</v>
      </c>
      <c r="J205" s="10">
        <f ca="1">Table2[[#This Row],[Unit Price]] * RANDBETWEEN(70,90)/100</f>
        <v>490</v>
      </c>
      <c r="K205" s="12">
        <f ca="1">(Table2[[#This Row],[Unit Price]] - Table2[[#This Row],[Cost per Unit]]) * Table2[[#This Row],[Units Sold]]</f>
        <v>6300</v>
      </c>
    </row>
    <row r="206" spans="1:11" ht="15.6" x14ac:dyDescent="0.3">
      <c r="A206" s="5" cm="1">
        <f t="array" ref="A206">1000 + ROW(206:206)</f>
        <v>1206</v>
      </c>
      <c r="B206" s="6">
        <f t="shared" ca="1" si="15"/>
        <v>45314</v>
      </c>
      <c r="C206" s="5" t="str" cm="1">
        <f t="array" aca="1" ref="C206" ca="1">INDEX({"S001","S002","S003","S004","S005"}, RANDBETWEEN(1,5))</f>
        <v>S004</v>
      </c>
      <c r="D206" s="5" t="str" cm="1">
        <f t="array" aca="1" ref="D206" ca="1">INDEX({"Mumbai","Delhi","Bangalore","Ahmedabad","Chennai"}, RANDBETWEEN(1,5))</f>
        <v>Delhi</v>
      </c>
      <c r="E206" s="5" t="str" cm="1">
        <f t="array" aca="1" ref="E206" ca="1">INDEX({"Electronics","Groceries","Furniture","Clothing","Stationery"}, RANDBETWEEN(1,5))</f>
        <v>Furniture</v>
      </c>
      <c r="F206" s="5" t="str">
        <f t="shared" ca="1" si="16"/>
        <v>Desk Lamp</v>
      </c>
      <c r="G206" s="8">
        <f t="shared" ca="1" si="17"/>
        <v>56</v>
      </c>
      <c r="H206" s="10">
        <f t="shared" ca="1" si="18"/>
        <v>15000</v>
      </c>
      <c r="I206" s="10">
        <f t="shared" ca="1" si="19"/>
        <v>840000</v>
      </c>
      <c r="J206" s="10">
        <f ca="1">Table2[[#This Row],[Unit Price]] * RANDBETWEEN(70,90)/100</f>
        <v>11100</v>
      </c>
      <c r="K206" s="12">
        <f ca="1">(Table2[[#This Row],[Unit Price]] - Table2[[#This Row],[Cost per Unit]]) * Table2[[#This Row],[Units Sold]]</f>
        <v>218400</v>
      </c>
    </row>
    <row r="207" spans="1:11" ht="15.6" x14ac:dyDescent="0.3">
      <c r="A207" s="5" cm="1">
        <f t="array" ref="A207">1000 + ROW(207:207)</f>
        <v>1207</v>
      </c>
      <c r="B207" s="6">
        <f t="shared" ca="1" si="15"/>
        <v>45303</v>
      </c>
      <c r="C207" s="5" t="str" cm="1">
        <f t="array" aca="1" ref="C207" ca="1">INDEX({"S001","S002","S003","S004","S005"}, RANDBETWEEN(1,5))</f>
        <v>S003</v>
      </c>
      <c r="D207" s="5" t="str" cm="1">
        <f t="array" aca="1" ref="D207" ca="1">INDEX({"Mumbai","Delhi","Bangalore","Ahmedabad","Chennai"}, RANDBETWEEN(1,5))</f>
        <v>Delhi</v>
      </c>
      <c r="E207" s="5" t="str" cm="1">
        <f t="array" aca="1" ref="E207" ca="1">INDEX({"Electronics","Groceries","Furniture","Clothing","Stationery"}, RANDBETWEEN(1,5))</f>
        <v>Clothing</v>
      </c>
      <c r="F207" s="5" t="str">
        <f t="shared" ca="1" si="16"/>
        <v>Office Chair</v>
      </c>
      <c r="G207" s="8">
        <f t="shared" ca="1" si="17"/>
        <v>53</v>
      </c>
      <c r="H207" s="10">
        <f t="shared" ca="1" si="18"/>
        <v>50</v>
      </c>
      <c r="I207" s="10">
        <f t="shared" ca="1" si="19"/>
        <v>2650</v>
      </c>
      <c r="J207" s="10">
        <f ca="1">Table2[[#This Row],[Unit Price]] * RANDBETWEEN(70,90)/100</f>
        <v>42</v>
      </c>
      <c r="K207" s="12">
        <f ca="1">(Table2[[#This Row],[Unit Price]] - Table2[[#This Row],[Cost per Unit]]) * Table2[[#This Row],[Units Sold]]</f>
        <v>424</v>
      </c>
    </row>
    <row r="208" spans="1:11" ht="15.6" x14ac:dyDescent="0.3">
      <c r="A208" s="5" cm="1">
        <f t="array" ref="A208">1000 + ROW(208:208)</f>
        <v>1208</v>
      </c>
      <c r="B208" s="6">
        <f t="shared" ca="1" si="15"/>
        <v>45363</v>
      </c>
      <c r="C208" s="5" t="str" cm="1">
        <f t="array" aca="1" ref="C208" ca="1">INDEX({"S001","S002","S003","S004","S005"}, RANDBETWEEN(1,5))</f>
        <v>S005</v>
      </c>
      <c r="D208" s="5" t="str" cm="1">
        <f t="array" aca="1" ref="D208" ca="1">INDEX({"Mumbai","Delhi","Bangalore","Ahmedabad","Chennai"}, RANDBETWEEN(1,5))</f>
        <v>Bangalore</v>
      </c>
      <c r="E208" s="5" t="str" cm="1">
        <f t="array" aca="1" ref="E208" ca="1">INDEX({"Electronics","Groceries","Furniture","Clothing","Stationery"}, RANDBETWEEN(1,5))</f>
        <v>Clothing</v>
      </c>
      <c r="F208" s="5" t="str">
        <f t="shared" ca="1" si="16"/>
        <v>Smartphone</v>
      </c>
      <c r="G208" s="8">
        <f t="shared" ca="1" si="17"/>
        <v>34</v>
      </c>
      <c r="H208" s="10">
        <f t="shared" ca="1" si="18"/>
        <v>150</v>
      </c>
      <c r="I208" s="10">
        <f t="shared" ca="1" si="19"/>
        <v>5100</v>
      </c>
      <c r="J208" s="10">
        <f ca="1">Table2[[#This Row],[Unit Price]] * RANDBETWEEN(70,90)/100</f>
        <v>127.5</v>
      </c>
      <c r="K208" s="12">
        <f ca="1">(Table2[[#This Row],[Unit Price]] - Table2[[#This Row],[Cost per Unit]]) * Table2[[#This Row],[Units Sold]]</f>
        <v>765</v>
      </c>
    </row>
    <row r="209" spans="1:11" ht="15.6" x14ac:dyDescent="0.3">
      <c r="A209" s="5" cm="1">
        <f t="array" ref="A209">1000 + ROW(209:209)</f>
        <v>1209</v>
      </c>
      <c r="B209" s="6">
        <f t="shared" ca="1" si="15"/>
        <v>45335</v>
      </c>
      <c r="C209" s="5" t="str" cm="1">
        <f t="array" aca="1" ref="C209" ca="1">INDEX({"S001","S002","S003","S004","S005"}, RANDBETWEEN(1,5))</f>
        <v>S001</v>
      </c>
      <c r="D209" s="5" t="str" cm="1">
        <f t="array" aca="1" ref="D209" ca="1">INDEX({"Mumbai","Delhi","Bangalore","Ahmedabad","Chennai"}, RANDBETWEEN(1,5))</f>
        <v>Bangalore</v>
      </c>
      <c r="E209" s="5" t="str" cm="1">
        <f t="array" aca="1" ref="E209" ca="1">INDEX({"Electronics","Groceries","Furniture","Clothing","Stationery"}, RANDBETWEEN(1,5))</f>
        <v>Electronics</v>
      </c>
      <c r="F209" s="5" t="str">
        <f t="shared" ca="1" si="16"/>
        <v>Notebook</v>
      </c>
      <c r="G209" s="8">
        <f t="shared" ca="1" si="17"/>
        <v>59</v>
      </c>
      <c r="H209" s="10">
        <f t="shared" ca="1" si="18"/>
        <v>250</v>
      </c>
      <c r="I209" s="10">
        <f t="shared" ca="1" si="19"/>
        <v>14750</v>
      </c>
      <c r="J209" s="10">
        <f ca="1">Table2[[#This Row],[Unit Price]] * RANDBETWEEN(70,90)/100</f>
        <v>192.5</v>
      </c>
      <c r="K209" s="12">
        <f ca="1">(Table2[[#This Row],[Unit Price]] - Table2[[#This Row],[Cost per Unit]]) * Table2[[#This Row],[Units Sold]]</f>
        <v>3392.5</v>
      </c>
    </row>
    <row r="210" spans="1:11" ht="15.6" x14ac:dyDescent="0.3">
      <c r="A210" s="5" cm="1">
        <f t="array" ref="A210">1000 + ROW(210:210)</f>
        <v>1210</v>
      </c>
      <c r="B210" s="6">
        <f t="shared" ca="1" si="15"/>
        <v>45313</v>
      </c>
      <c r="C210" s="5" t="str" cm="1">
        <f t="array" aca="1" ref="C210" ca="1">INDEX({"S001","S002","S003","S004","S005"}, RANDBETWEEN(1,5))</f>
        <v>S001</v>
      </c>
      <c r="D210" s="5" t="str" cm="1">
        <f t="array" aca="1" ref="D210" ca="1">INDEX({"Mumbai","Delhi","Bangalore","Ahmedabad","Chennai"}, RANDBETWEEN(1,5))</f>
        <v>Mumbai</v>
      </c>
      <c r="E210" s="5" t="str" cm="1">
        <f t="array" aca="1" ref="E210" ca="1">INDEX({"Electronics","Groceries","Furniture","Clothing","Stationery"}, RANDBETWEEN(1,5))</f>
        <v>Stationery</v>
      </c>
      <c r="F210" s="5" t="str">
        <f t="shared" ca="1" si="16"/>
        <v>Notebook</v>
      </c>
      <c r="G210" s="8">
        <f t="shared" ca="1" si="17"/>
        <v>79</v>
      </c>
      <c r="H210" s="10">
        <f t="shared" ca="1" si="18"/>
        <v>500</v>
      </c>
      <c r="I210" s="10">
        <f t="shared" ca="1" si="19"/>
        <v>39500</v>
      </c>
      <c r="J210" s="10">
        <f ca="1">Table2[[#This Row],[Unit Price]] * RANDBETWEEN(70,90)/100</f>
        <v>445</v>
      </c>
      <c r="K210" s="12">
        <f ca="1">(Table2[[#This Row],[Unit Price]] - Table2[[#This Row],[Cost per Unit]]) * Table2[[#This Row],[Units Sold]]</f>
        <v>4345</v>
      </c>
    </row>
    <row r="211" spans="1:11" ht="15.6" x14ac:dyDescent="0.3">
      <c r="A211" s="5" cm="1">
        <f t="array" ref="A211">1000 + ROW(211:211)</f>
        <v>1211</v>
      </c>
      <c r="B211" s="6">
        <f t="shared" ca="1" si="15"/>
        <v>45312</v>
      </c>
      <c r="C211" s="5" t="str" cm="1">
        <f t="array" aca="1" ref="C211" ca="1">INDEX({"S001","S002","S003","S004","S005"}, RANDBETWEEN(1,5))</f>
        <v>S005</v>
      </c>
      <c r="D211" s="5" t="str" cm="1">
        <f t="array" aca="1" ref="D211" ca="1">INDEX({"Mumbai","Delhi","Bangalore","Ahmedabad","Chennai"}, RANDBETWEEN(1,5))</f>
        <v>Bangalore</v>
      </c>
      <c r="E211" s="5" t="str" cm="1">
        <f t="array" aca="1" ref="E211" ca="1">INDEX({"Electronics","Groceries","Furniture","Clothing","Stationery"}, RANDBETWEEN(1,5))</f>
        <v>Stationery</v>
      </c>
      <c r="F211" s="5" t="str">
        <f t="shared" ca="1" si="16"/>
        <v>T-shirt</v>
      </c>
      <c r="G211" s="8">
        <f t="shared" ca="1" si="17"/>
        <v>63</v>
      </c>
      <c r="H211" s="10">
        <f t="shared" ca="1" si="18"/>
        <v>500</v>
      </c>
      <c r="I211" s="10">
        <f t="shared" ca="1" si="19"/>
        <v>31500</v>
      </c>
      <c r="J211" s="10">
        <f ca="1">Table2[[#This Row],[Unit Price]] * RANDBETWEEN(70,90)/100</f>
        <v>450</v>
      </c>
      <c r="K211" s="12">
        <f ca="1">(Table2[[#This Row],[Unit Price]] - Table2[[#This Row],[Cost per Unit]]) * Table2[[#This Row],[Units Sold]]</f>
        <v>3150</v>
      </c>
    </row>
    <row r="212" spans="1:11" ht="15.6" x14ac:dyDescent="0.3">
      <c r="A212" s="5" cm="1">
        <f t="array" ref="A212">1000 + ROW(212:212)</f>
        <v>1212</v>
      </c>
      <c r="B212" s="6">
        <f t="shared" ca="1" si="15"/>
        <v>45332</v>
      </c>
      <c r="C212" s="5" t="str" cm="1">
        <f t="array" aca="1" ref="C212" ca="1">INDEX({"S001","S002","S003","S004","S005"}, RANDBETWEEN(1,5))</f>
        <v>S002</v>
      </c>
      <c r="D212" s="5" t="str" cm="1">
        <f t="array" aca="1" ref="D212" ca="1">INDEX({"Mumbai","Delhi","Bangalore","Ahmedabad","Chennai"}, RANDBETWEEN(1,5))</f>
        <v>Delhi</v>
      </c>
      <c r="E212" s="5" t="str" cm="1">
        <f t="array" aca="1" ref="E212" ca="1">INDEX({"Electronics","Groceries","Furniture","Clothing","Stationery"}, RANDBETWEEN(1,5))</f>
        <v>Clothing</v>
      </c>
      <c r="F212" s="5" t="str">
        <f t="shared" ca="1" si="16"/>
        <v>Desk Lamp</v>
      </c>
      <c r="G212" s="8">
        <f t="shared" ca="1" si="17"/>
        <v>45</v>
      </c>
      <c r="H212" s="10">
        <f t="shared" ca="1" si="18"/>
        <v>700</v>
      </c>
      <c r="I212" s="10">
        <f t="shared" ca="1" si="19"/>
        <v>31500</v>
      </c>
      <c r="J212" s="10">
        <f ca="1">Table2[[#This Row],[Unit Price]] * RANDBETWEEN(70,90)/100</f>
        <v>511</v>
      </c>
      <c r="K212" s="12">
        <f ca="1">(Table2[[#This Row],[Unit Price]] - Table2[[#This Row],[Cost per Unit]]) * Table2[[#This Row],[Units Sold]]</f>
        <v>8505</v>
      </c>
    </row>
    <row r="213" spans="1:11" ht="15.6" x14ac:dyDescent="0.3">
      <c r="A213" s="5" cm="1">
        <f t="array" ref="A213">1000 + ROW(213:213)</f>
        <v>1213</v>
      </c>
      <c r="B213" s="6">
        <f t="shared" ca="1" si="15"/>
        <v>45371</v>
      </c>
      <c r="C213" s="5" t="str" cm="1">
        <f t="array" aca="1" ref="C213" ca="1">INDEX({"S001","S002","S003","S004","S005"}, RANDBETWEEN(1,5))</f>
        <v>S005</v>
      </c>
      <c r="D213" s="5" t="str" cm="1">
        <f t="array" aca="1" ref="D213" ca="1">INDEX({"Mumbai","Delhi","Bangalore","Ahmedabad","Chennai"}, RANDBETWEEN(1,5))</f>
        <v>Bangalore</v>
      </c>
      <c r="E213" s="5" t="str" cm="1">
        <f t="array" aca="1" ref="E213" ca="1">INDEX({"Electronics","Groceries","Furniture","Clothing","Stationery"}, RANDBETWEEN(1,5))</f>
        <v>Furniture</v>
      </c>
      <c r="F213" s="5" t="str">
        <f t="shared" ca="1" si="16"/>
        <v>Table</v>
      </c>
      <c r="G213" s="8">
        <f t="shared" ca="1" si="17"/>
        <v>61</v>
      </c>
      <c r="H213" s="10">
        <f t="shared" ca="1" si="18"/>
        <v>300</v>
      </c>
      <c r="I213" s="10">
        <f t="shared" ca="1" si="19"/>
        <v>18300</v>
      </c>
      <c r="J213" s="10">
        <f ca="1">Table2[[#This Row],[Unit Price]] * RANDBETWEEN(70,90)/100</f>
        <v>219</v>
      </c>
      <c r="K213" s="12">
        <f ca="1">(Table2[[#This Row],[Unit Price]] - Table2[[#This Row],[Cost per Unit]]) * Table2[[#This Row],[Units Sold]]</f>
        <v>4941</v>
      </c>
    </row>
    <row r="214" spans="1:11" ht="15.6" x14ac:dyDescent="0.3">
      <c r="A214" s="5" cm="1">
        <f t="array" ref="A214">1000 + ROW(214:214)</f>
        <v>1214</v>
      </c>
      <c r="B214" s="6">
        <f t="shared" ca="1" si="15"/>
        <v>45370</v>
      </c>
      <c r="C214" s="5" t="str" cm="1">
        <f t="array" aca="1" ref="C214" ca="1">INDEX({"S001","S002","S003","S004","S005"}, RANDBETWEEN(1,5))</f>
        <v>S001</v>
      </c>
      <c r="D214" s="5" t="str" cm="1">
        <f t="array" aca="1" ref="D214" ca="1">INDEX({"Mumbai","Delhi","Bangalore","Ahmedabad","Chennai"}, RANDBETWEEN(1,5))</f>
        <v>Chennai</v>
      </c>
      <c r="E214" s="5" t="str" cm="1">
        <f t="array" aca="1" ref="E214" ca="1">INDEX({"Electronics","Groceries","Furniture","Clothing","Stationery"}, RANDBETWEEN(1,5))</f>
        <v>Groceries</v>
      </c>
      <c r="F214" s="5" t="str">
        <f t="shared" ca="1" si="16"/>
        <v>Shampoo</v>
      </c>
      <c r="G214" s="8">
        <f t="shared" ca="1" si="17"/>
        <v>53</v>
      </c>
      <c r="H214" s="10">
        <f t="shared" ca="1" si="18"/>
        <v>150</v>
      </c>
      <c r="I214" s="10">
        <f t="shared" ca="1" si="19"/>
        <v>7950</v>
      </c>
      <c r="J214" s="10">
        <f ca="1">Table2[[#This Row],[Unit Price]] * RANDBETWEEN(70,90)/100</f>
        <v>114</v>
      </c>
      <c r="K214" s="12">
        <f ca="1">(Table2[[#This Row],[Unit Price]] - Table2[[#This Row],[Cost per Unit]]) * Table2[[#This Row],[Units Sold]]</f>
        <v>1908</v>
      </c>
    </row>
    <row r="215" spans="1:11" ht="15.6" x14ac:dyDescent="0.3">
      <c r="A215" s="5" cm="1">
        <f t="array" ref="A215">1000 + ROW(215:215)</f>
        <v>1215</v>
      </c>
      <c r="B215" s="6">
        <f t="shared" ca="1" si="15"/>
        <v>45351</v>
      </c>
      <c r="C215" s="5" t="str" cm="1">
        <f t="array" aca="1" ref="C215" ca="1">INDEX({"S001","S002","S003","S004","S005"}, RANDBETWEEN(1,5))</f>
        <v>S005</v>
      </c>
      <c r="D215" s="5" t="str" cm="1">
        <f t="array" aca="1" ref="D215" ca="1">INDEX({"Mumbai","Delhi","Bangalore","Ahmedabad","Chennai"}, RANDBETWEEN(1,5))</f>
        <v>Delhi</v>
      </c>
      <c r="E215" s="5" t="str" cm="1">
        <f t="array" aca="1" ref="E215" ca="1">INDEX({"Electronics","Groceries","Furniture","Clothing","Stationery"}, RANDBETWEEN(1,5))</f>
        <v>Groceries</v>
      </c>
      <c r="F215" s="5" t="str">
        <f t="shared" ca="1" si="16"/>
        <v>Desk Lamp</v>
      </c>
      <c r="G215" s="8">
        <f t="shared" ca="1" si="17"/>
        <v>7</v>
      </c>
      <c r="H215" s="10">
        <f t="shared" ca="1" si="18"/>
        <v>1200</v>
      </c>
      <c r="I215" s="10">
        <f t="shared" ca="1" si="19"/>
        <v>8400</v>
      </c>
      <c r="J215" s="10">
        <f ca="1">Table2[[#This Row],[Unit Price]] * RANDBETWEEN(70,90)/100</f>
        <v>1032</v>
      </c>
      <c r="K215" s="12">
        <f ca="1">(Table2[[#This Row],[Unit Price]] - Table2[[#This Row],[Cost per Unit]]) * Table2[[#This Row],[Units Sold]]</f>
        <v>1176</v>
      </c>
    </row>
    <row r="216" spans="1:11" ht="15.6" x14ac:dyDescent="0.3">
      <c r="A216" s="5" cm="1">
        <f t="array" ref="A216">1000 + ROW(216:216)</f>
        <v>1216</v>
      </c>
      <c r="B216" s="6">
        <f t="shared" ca="1" si="15"/>
        <v>45304</v>
      </c>
      <c r="C216" s="5" t="str" cm="1">
        <f t="array" aca="1" ref="C216" ca="1">INDEX({"S001","S002","S003","S004","S005"}, RANDBETWEEN(1,5))</f>
        <v>S003</v>
      </c>
      <c r="D216" s="5" t="str" cm="1">
        <f t="array" aca="1" ref="D216" ca="1">INDEX({"Mumbai","Delhi","Bangalore","Ahmedabad","Chennai"}, RANDBETWEEN(1,5))</f>
        <v>Chennai</v>
      </c>
      <c r="E216" s="5" t="str" cm="1">
        <f t="array" aca="1" ref="E216" ca="1">INDEX({"Electronics","Groceries","Furniture","Clothing","Stationery"}, RANDBETWEEN(1,5))</f>
        <v>Electronics</v>
      </c>
      <c r="F216" s="5" t="str">
        <f t="shared" ca="1" si="16"/>
        <v>Rice 5kg</v>
      </c>
      <c r="G216" s="8">
        <f t="shared" ca="1" si="17"/>
        <v>75</v>
      </c>
      <c r="H216" s="10">
        <f t="shared" ca="1" si="18"/>
        <v>150</v>
      </c>
      <c r="I216" s="10">
        <f t="shared" ca="1" si="19"/>
        <v>11250</v>
      </c>
      <c r="J216" s="10">
        <f ca="1">Table2[[#This Row],[Unit Price]] * RANDBETWEEN(70,90)/100</f>
        <v>112.5</v>
      </c>
      <c r="K216" s="12">
        <f ca="1">(Table2[[#This Row],[Unit Price]] - Table2[[#This Row],[Cost per Unit]]) * Table2[[#This Row],[Units Sold]]</f>
        <v>2812.5</v>
      </c>
    </row>
    <row r="217" spans="1:11" ht="15.6" x14ac:dyDescent="0.3">
      <c r="A217" s="5" cm="1">
        <f t="array" ref="A217">1000 + ROW(217:217)</f>
        <v>1217</v>
      </c>
      <c r="B217" s="6">
        <f t="shared" ca="1" si="15"/>
        <v>45327</v>
      </c>
      <c r="C217" s="5" t="str" cm="1">
        <f t="array" aca="1" ref="C217" ca="1">INDEX({"S001","S002","S003","S004","S005"}, RANDBETWEEN(1,5))</f>
        <v>S001</v>
      </c>
      <c r="D217" s="5" t="str" cm="1">
        <f t="array" aca="1" ref="D217" ca="1">INDEX({"Mumbai","Delhi","Bangalore","Ahmedabad","Chennai"}, RANDBETWEEN(1,5))</f>
        <v>Chennai</v>
      </c>
      <c r="E217" s="5" t="str" cm="1">
        <f t="array" aca="1" ref="E217" ca="1">INDEX({"Electronics","Groceries","Furniture","Clothing","Stationery"}, RANDBETWEEN(1,5))</f>
        <v>Electronics</v>
      </c>
      <c r="F217" s="5" t="str">
        <f t="shared" ca="1" si="16"/>
        <v>Desk Lamp</v>
      </c>
      <c r="G217" s="8">
        <f t="shared" ca="1" si="17"/>
        <v>56</v>
      </c>
      <c r="H217" s="10">
        <f t="shared" ca="1" si="18"/>
        <v>50</v>
      </c>
      <c r="I217" s="10">
        <f t="shared" ca="1" si="19"/>
        <v>2800</v>
      </c>
      <c r="J217" s="10">
        <f ca="1">Table2[[#This Row],[Unit Price]] * RANDBETWEEN(70,90)/100</f>
        <v>37.5</v>
      </c>
      <c r="K217" s="12">
        <f ca="1">(Table2[[#This Row],[Unit Price]] - Table2[[#This Row],[Cost per Unit]]) * Table2[[#This Row],[Units Sold]]</f>
        <v>700</v>
      </c>
    </row>
    <row r="218" spans="1:11" ht="15.6" x14ac:dyDescent="0.3">
      <c r="A218" s="5" cm="1">
        <f t="array" ref="A218">1000 + ROW(218:218)</f>
        <v>1218</v>
      </c>
      <c r="B218" s="6">
        <f t="shared" ca="1" si="15"/>
        <v>45307</v>
      </c>
      <c r="C218" s="5" t="str" cm="1">
        <f t="array" aca="1" ref="C218" ca="1">INDEX({"S001","S002","S003","S004","S005"}, RANDBETWEEN(1,5))</f>
        <v>S001</v>
      </c>
      <c r="D218" s="5" t="str" cm="1">
        <f t="array" aca="1" ref="D218" ca="1">INDEX({"Mumbai","Delhi","Bangalore","Ahmedabad","Chennai"}, RANDBETWEEN(1,5))</f>
        <v>Chennai</v>
      </c>
      <c r="E218" s="5" t="str" cm="1">
        <f t="array" aca="1" ref="E218" ca="1">INDEX({"Electronics","Groceries","Furniture","Clothing","Stationery"}, RANDBETWEEN(1,5))</f>
        <v>Stationery</v>
      </c>
      <c r="F218" s="5" t="str">
        <f t="shared" ca="1" si="16"/>
        <v>Desk Lamp</v>
      </c>
      <c r="G218" s="8">
        <f t="shared" ca="1" si="17"/>
        <v>75</v>
      </c>
      <c r="H218" s="10">
        <f t="shared" ca="1" si="18"/>
        <v>500</v>
      </c>
      <c r="I218" s="10">
        <f t="shared" ca="1" si="19"/>
        <v>37500</v>
      </c>
      <c r="J218" s="10">
        <f ca="1">Table2[[#This Row],[Unit Price]] * RANDBETWEEN(70,90)/100</f>
        <v>440</v>
      </c>
      <c r="K218" s="12">
        <f ca="1">(Table2[[#This Row],[Unit Price]] - Table2[[#This Row],[Cost per Unit]]) * Table2[[#This Row],[Units Sold]]</f>
        <v>4500</v>
      </c>
    </row>
    <row r="219" spans="1:11" ht="15.6" x14ac:dyDescent="0.3">
      <c r="A219" s="5" cm="1">
        <f t="array" ref="A219">1000 + ROW(219:219)</f>
        <v>1219</v>
      </c>
      <c r="B219" s="6">
        <f t="shared" ca="1" si="15"/>
        <v>45311</v>
      </c>
      <c r="C219" s="5" t="str" cm="1">
        <f t="array" aca="1" ref="C219" ca="1">INDEX({"S001","S002","S003","S004","S005"}, RANDBETWEEN(1,5))</f>
        <v>S003</v>
      </c>
      <c r="D219" s="5" t="str" cm="1">
        <f t="array" aca="1" ref="D219" ca="1">INDEX({"Mumbai","Delhi","Bangalore","Ahmedabad","Chennai"}, RANDBETWEEN(1,5))</f>
        <v>Ahmedabad</v>
      </c>
      <c r="E219" s="5" t="str" cm="1">
        <f t="array" aca="1" ref="E219" ca="1">INDEX({"Electronics","Groceries","Furniture","Clothing","Stationery"}, RANDBETWEEN(1,5))</f>
        <v>Clothing</v>
      </c>
      <c r="F219" s="5" t="str">
        <f t="shared" ca="1" si="16"/>
        <v>Cooking Oil 1L</v>
      </c>
      <c r="G219" s="8">
        <f t="shared" ca="1" si="17"/>
        <v>31</v>
      </c>
      <c r="H219" s="10">
        <f t="shared" ca="1" si="18"/>
        <v>30000</v>
      </c>
      <c r="I219" s="10">
        <f t="shared" ca="1" si="19"/>
        <v>930000</v>
      </c>
      <c r="J219" s="10">
        <f ca="1">Table2[[#This Row],[Unit Price]] * RANDBETWEEN(70,90)/100</f>
        <v>22200</v>
      </c>
      <c r="K219" s="12">
        <f ca="1">(Table2[[#This Row],[Unit Price]] - Table2[[#This Row],[Cost per Unit]]) * Table2[[#This Row],[Units Sold]]</f>
        <v>241800</v>
      </c>
    </row>
    <row r="220" spans="1:11" ht="15.6" x14ac:dyDescent="0.3">
      <c r="A220" s="5" cm="1">
        <f t="array" ref="A220">1000 + ROW(220:220)</f>
        <v>1220</v>
      </c>
      <c r="B220" s="6">
        <f t="shared" ca="1" si="15"/>
        <v>45359</v>
      </c>
      <c r="C220" s="5" t="str" cm="1">
        <f t="array" aca="1" ref="C220" ca="1">INDEX({"S001","S002","S003","S004","S005"}, RANDBETWEEN(1,5))</f>
        <v>S001</v>
      </c>
      <c r="D220" s="5" t="str" cm="1">
        <f t="array" aca="1" ref="D220" ca="1">INDEX({"Mumbai","Delhi","Bangalore","Ahmedabad","Chennai"}, RANDBETWEEN(1,5))</f>
        <v>Mumbai</v>
      </c>
      <c r="E220" s="5" t="str" cm="1">
        <f t="array" aca="1" ref="E220" ca="1">INDEX({"Electronics","Groceries","Furniture","Clothing","Stationery"}, RANDBETWEEN(1,5))</f>
        <v>Furniture</v>
      </c>
      <c r="F220" s="5" t="str">
        <f t="shared" ca="1" si="16"/>
        <v>Laptop</v>
      </c>
      <c r="G220" s="8">
        <f t="shared" ca="1" si="17"/>
        <v>27</v>
      </c>
      <c r="H220" s="10">
        <f t="shared" ca="1" si="18"/>
        <v>15000</v>
      </c>
      <c r="I220" s="10">
        <f t="shared" ca="1" si="19"/>
        <v>405000</v>
      </c>
      <c r="J220" s="10">
        <f ca="1">Table2[[#This Row],[Unit Price]] * RANDBETWEEN(70,90)/100</f>
        <v>12000</v>
      </c>
      <c r="K220" s="12">
        <f ca="1">(Table2[[#This Row],[Unit Price]] - Table2[[#This Row],[Cost per Unit]]) * Table2[[#This Row],[Units Sold]]</f>
        <v>81000</v>
      </c>
    </row>
    <row r="221" spans="1:11" ht="15.6" x14ac:dyDescent="0.3">
      <c r="A221" s="5" cm="1">
        <f t="array" ref="A221">1000 + ROW(221:221)</f>
        <v>1221</v>
      </c>
      <c r="B221" s="6">
        <f t="shared" ca="1" si="15"/>
        <v>45299</v>
      </c>
      <c r="C221" s="5" t="str" cm="1">
        <f t="array" aca="1" ref="C221" ca="1">INDEX({"S001","S002","S003","S004","S005"}, RANDBETWEEN(1,5))</f>
        <v>S003</v>
      </c>
      <c r="D221" s="5" t="str" cm="1">
        <f t="array" aca="1" ref="D221" ca="1">INDEX({"Mumbai","Delhi","Bangalore","Ahmedabad","Chennai"}, RANDBETWEEN(1,5))</f>
        <v>Mumbai</v>
      </c>
      <c r="E221" s="5" t="str" cm="1">
        <f t="array" aca="1" ref="E221" ca="1">INDEX({"Electronics","Groceries","Furniture","Clothing","Stationery"}, RANDBETWEEN(1,5))</f>
        <v>Clothing</v>
      </c>
      <c r="F221" s="5" t="str">
        <f t="shared" ca="1" si="16"/>
        <v>Smartphone</v>
      </c>
      <c r="G221" s="8">
        <f t="shared" ca="1" si="17"/>
        <v>2</v>
      </c>
      <c r="H221" s="10">
        <f t="shared" ca="1" si="18"/>
        <v>900</v>
      </c>
      <c r="I221" s="10">
        <f t="shared" ca="1" si="19"/>
        <v>1800</v>
      </c>
      <c r="J221" s="10">
        <f ca="1">Table2[[#This Row],[Unit Price]] * RANDBETWEEN(70,90)/100</f>
        <v>666</v>
      </c>
      <c r="K221" s="12">
        <f ca="1">(Table2[[#This Row],[Unit Price]] - Table2[[#This Row],[Cost per Unit]]) * Table2[[#This Row],[Units Sold]]</f>
        <v>468</v>
      </c>
    </row>
    <row r="222" spans="1:11" ht="15.6" x14ac:dyDescent="0.3">
      <c r="A222" s="5" cm="1">
        <f t="array" ref="A222">1000 + ROW(222:222)</f>
        <v>1222</v>
      </c>
      <c r="B222" s="6">
        <f t="shared" ca="1" si="15"/>
        <v>45362</v>
      </c>
      <c r="C222" s="5" t="str" cm="1">
        <f t="array" aca="1" ref="C222" ca="1">INDEX({"S001","S002","S003","S004","S005"}, RANDBETWEEN(1,5))</f>
        <v>S005</v>
      </c>
      <c r="D222" s="5" t="str" cm="1">
        <f t="array" aca="1" ref="D222" ca="1">INDEX({"Mumbai","Delhi","Bangalore","Ahmedabad","Chennai"}, RANDBETWEEN(1,5))</f>
        <v>Chennai</v>
      </c>
      <c r="E222" s="5" t="str" cm="1">
        <f t="array" aca="1" ref="E222" ca="1">INDEX({"Electronics","Groceries","Furniture","Clothing","Stationery"}, RANDBETWEEN(1,5))</f>
        <v>Electronics</v>
      </c>
      <c r="F222" s="5" t="str">
        <f t="shared" ca="1" si="16"/>
        <v>Cooking Oil 1L</v>
      </c>
      <c r="G222" s="8">
        <f t="shared" ca="1" si="17"/>
        <v>38</v>
      </c>
      <c r="H222" s="10">
        <f t="shared" ca="1" si="18"/>
        <v>30000</v>
      </c>
      <c r="I222" s="10">
        <f t="shared" ca="1" si="19"/>
        <v>1140000</v>
      </c>
      <c r="J222" s="10">
        <f ca="1">Table2[[#This Row],[Unit Price]] * RANDBETWEEN(70,90)/100</f>
        <v>23400</v>
      </c>
      <c r="K222" s="12">
        <f ca="1">(Table2[[#This Row],[Unit Price]] - Table2[[#This Row],[Cost per Unit]]) * Table2[[#This Row],[Units Sold]]</f>
        <v>250800</v>
      </c>
    </row>
    <row r="223" spans="1:11" ht="15.6" x14ac:dyDescent="0.3">
      <c r="A223" s="5" cm="1">
        <f t="array" ref="A223">1000 + ROW(223:223)</f>
        <v>1223</v>
      </c>
      <c r="B223" s="6">
        <f t="shared" ca="1" si="15"/>
        <v>45368</v>
      </c>
      <c r="C223" s="5" t="str" cm="1">
        <f t="array" aca="1" ref="C223" ca="1">INDEX({"S001","S002","S003","S004","S005"}, RANDBETWEEN(1,5))</f>
        <v>S004</v>
      </c>
      <c r="D223" s="5" t="str" cm="1">
        <f t="array" aca="1" ref="D223" ca="1">INDEX({"Mumbai","Delhi","Bangalore","Ahmedabad","Chennai"}, RANDBETWEEN(1,5))</f>
        <v>Chennai</v>
      </c>
      <c r="E223" s="5" t="str" cm="1">
        <f t="array" aca="1" ref="E223" ca="1">INDEX({"Electronics","Groceries","Furniture","Clothing","Stationery"}, RANDBETWEEN(1,5))</f>
        <v>Stationery</v>
      </c>
      <c r="F223" s="5" t="str">
        <f t="shared" ca="1" si="16"/>
        <v>T-shirt</v>
      </c>
      <c r="G223" s="8">
        <f t="shared" ca="1" si="17"/>
        <v>100</v>
      </c>
      <c r="H223" s="10">
        <f t="shared" ca="1" si="18"/>
        <v>1200</v>
      </c>
      <c r="I223" s="10">
        <f t="shared" ca="1" si="19"/>
        <v>120000</v>
      </c>
      <c r="J223" s="10">
        <f ca="1">Table2[[#This Row],[Unit Price]] * RANDBETWEEN(70,90)/100</f>
        <v>1008</v>
      </c>
      <c r="K223" s="12">
        <f ca="1">(Table2[[#This Row],[Unit Price]] - Table2[[#This Row],[Cost per Unit]]) * Table2[[#This Row],[Units Sold]]</f>
        <v>19200</v>
      </c>
    </row>
    <row r="224" spans="1:11" ht="15.6" x14ac:dyDescent="0.3">
      <c r="A224" s="5" cm="1">
        <f t="array" ref="A224">1000 + ROW(224:224)</f>
        <v>1224</v>
      </c>
      <c r="B224" s="6">
        <f t="shared" ca="1" si="15"/>
        <v>45343</v>
      </c>
      <c r="C224" s="5" t="str" cm="1">
        <f t="array" aca="1" ref="C224" ca="1">INDEX({"S001","S002","S003","S004","S005"}, RANDBETWEEN(1,5))</f>
        <v>S002</v>
      </c>
      <c r="D224" s="5" t="str" cm="1">
        <f t="array" aca="1" ref="D224" ca="1">INDEX({"Mumbai","Delhi","Bangalore","Ahmedabad","Chennai"}, RANDBETWEEN(1,5))</f>
        <v>Mumbai</v>
      </c>
      <c r="E224" s="5" t="str" cm="1">
        <f t="array" aca="1" ref="E224" ca="1">INDEX({"Electronics","Groceries","Furniture","Clothing","Stationery"}, RANDBETWEEN(1,5))</f>
        <v>Electronics</v>
      </c>
      <c r="F224" s="5" t="str">
        <f t="shared" ca="1" si="16"/>
        <v>Table</v>
      </c>
      <c r="G224" s="8">
        <f t="shared" ca="1" si="17"/>
        <v>6</v>
      </c>
      <c r="H224" s="10">
        <f t="shared" ca="1" si="18"/>
        <v>500</v>
      </c>
      <c r="I224" s="10">
        <f t="shared" ca="1" si="19"/>
        <v>3000</v>
      </c>
      <c r="J224" s="10">
        <f ca="1">Table2[[#This Row],[Unit Price]] * RANDBETWEEN(70,90)/100</f>
        <v>440</v>
      </c>
      <c r="K224" s="12">
        <f ca="1">(Table2[[#This Row],[Unit Price]] - Table2[[#This Row],[Cost per Unit]]) * Table2[[#This Row],[Units Sold]]</f>
        <v>360</v>
      </c>
    </row>
    <row r="225" spans="1:11" ht="15.6" x14ac:dyDescent="0.3">
      <c r="A225" s="5" cm="1">
        <f t="array" ref="A225">1000 + ROW(225:225)</f>
        <v>1225</v>
      </c>
      <c r="B225" s="6">
        <f t="shared" ca="1" si="15"/>
        <v>45327</v>
      </c>
      <c r="C225" s="5" t="str" cm="1">
        <f t="array" aca="1" ref="C225" ca="1">INDEX({"S001","S002","S003","S004","S005"}, RANDBETWEEN(1,5))</f>
        <v>S005</v>
      </c>
      <c r="D225" s="5" t="str" cm="1">
        <f t="array" aca="1" ref="D225" ca="1">INDEX({"Mumbai","Delhi","Bangalore","Ahmedabad","Chennai"}, RANDBETWEEN(1,5))</f>
        <v>Delhi</v>
      </c>
      <c r="E225" s="5" t="str" cm="1">
        <f t="array" aca="1" ref="E225" ca="1">INDEX({"Electronics","Groceries","Furniture","Clothing","Stationery"}, RANDBETWEEN(1,5))</f>
        <v>Clothing</v>
      </c>
      <c r="F225" s="5" t="str">
        <f t="shared" ca="1" si="16"/>
        <v>Rice 5kg</v>
      </c>
      <c r="G225" s="8">
        <f t="shared" ca="1" si="17"/>
        <v>99</v>
      </c>
      <c r="H225" s="10">
        <f t="shared" ca="1" si="18"/>
        <v>150</v>
      </c>
      <c r="I225" s="10">
        <f t="shared" ca="1" si="19"/>
        <v>14850</v>
      </c>
      <c r="J225" s="10">
        <f ca="1">Table2[[#This Row],[Unit Price]] * RANDBETWEEN(70,90)/100</f>
        <v>132</v>
      </c>
      <c r="K225" s="12">
        <f ca="1">(Table2[[#This Row],[Unit Price]] - Table2[[#This Row],[Cost per Unit]]) * Table2[[#This Row],[Units Sold]]</f>
        <v>1782</v>
      </c>
    </row>
    <row r="226" spans="1:11" ht="15.6" x14ac:dyDescent="0.3">
      <c r="A226" s="5" cm="1">
        <f t="array" ref="A226">1000 + ROW(226:226)</f>
        <v>1226</v>
      </c>
      <c r="B226" s="6">
        <f t="shared" ca="1" si="15"/>
        <v>45358</v>
      </c>
      <c r="C226" s="5" t="str" cm="1">
        <f t="array" aca="1" ref="C226" ca="1">INDEX({"S001","S002","S003","S004","S005"}, RANDBETWEEN(1,5))</f>
        <v>S001</v>
      </c>
      <c r="D226" s="5" t="str" cm="1">
        <f t="array" aca="1" ref="D226" ca="1">INDEX({"Mumbai","Delhi","Bangalore","Ahmedabad","Chennai"}, RANDBETWEEN(1,5))</f>
        <v>Ahmedabad</v>
      </c>
      <c r="E226" s="5" t="str" cm="1">
        <f t="array" aca="1" ref="E226" ca="1">INDEX({"Electronics","Groceries","Furniture","Clothing","Stationery"}, RANDBETWEEN(1,5))</f>
        <v>Electronics</v>
      </c>
      <c r="F226" s="5" t="str">
        <f t="shared" ca="1" si="16"/>
        <v>Rice 5kg</v>
      </c>
      <c r="G226" s="8">
        <f t="shared" ca="1" si="17"/>
        <v>44</v>
      </c>
      <c r="H226" s="10">
        <f t="shared" ca="1" si="18"/>
        <v>900</v>
      </c>
      <c r="I226" s="10">
        <f t="shared" ca="1" si="19"/>
        <v>39600</v>
      </c>
      <c r="J226" s="10">
        <f ca="1">Table2[[#This Row],[Unit Price]] * RANDBETWEEN(70,90)/100</f>
        <v>693</v>
      </c>
      <c r="K226" s="12">
        <f ca="1">(Table2[[#This Row],[Unit Price]] - Table2[[#This Row],[Cost per Unit]]) * Table2[[#This Row],[Units Sold]]</f>
        <v>9108</v>
      </c>
    </row>
    <row r="227" spans="1:11" ht="15.6" x14ac:dyDescent="0.3">
      <c r="A227" s="5" cm="1">
        <f t="array" ref="A227">1000 + ROW(227:227)</f>
        <v>1227</v>
      </c>
      <c r="B227" s="6">
        <f t="shared" ca="1" si="15"/>
        <v>45339</v>
      </c>
      <c r="C227" s="5" t="str" cm="1">
        <f t="array" aca="1" ref="C227" ca="1">INDEX({"S001","S002","S003","S004","S005"}, RANDBETWEEN(1,5))</f>
        <v>S003</v>
      </c>
      <c r="D227" s="5" t="str" cm="1">
        <f t="array" aca="1" ref="D227" ca="1">INDEX({"Mumbai","Delhi","Bangalore","Ahmedabad","Chennai"}, RANDBETWEEN(1,5))</f>
        <v>Chennai</v>
      </c>
      <c r="E227" s="5" t="str" cm="1">
        <f t="array" aca="1" ref="E227" ca="1">INDEX({"Electronics","Groceries","Furniture","Clothing","Stationery"}, RANDBETWEEN(1,5))</f>
        <v>Electronics</v>
      </c>
      <c r="F227" s="5" t="str">
        <f t="shared" ca="1" si="16"/>
        <v>Laptop</v>
      </c>
      <c r="G227" s="8">
        <f t="shared" ca="1" si="17"/>
        <v>91</v>
      </c>
      <c r="H227" s="10">
        <f t="shared" ca="1" si="18"/>
        <v>700</v>
      </c>
      <c r="I227" s="10">
        <f t="shared" ca="1" si="19"/>
        <v>63700</v>
      </c>
      <c r="J227" s="10">
        <f ca="1">Table2[[#This Row],[Unit Price]] * RANDBETWEEN(70,90)/100</f>
        <v>553</v>
      </c>
      <c r="K227" s="12">
        <f ca="1">(Table2[[#This Row],[Unit Price]] - Table2[[#This Row],[Cost per Unit]]) * Table2[[#This Row],[Units Sold]]</f>
        <v>13377</v>
      </c>
    </row>
    <row r="228" spans="1:11" ht="15.6" x14ac:dyDescent="0.3">
      <c r="A228" s="5" cm="1">
        <f t="array" ref="A228">1000 + ROW(228:228)</f>
        <v>1228</v>
      </c>
      <c r="B228" s="6">
        <f t="shared" ca="1" si="15"/>
        <v>45319</v>
      </c>
      <c r="C228" s="5" t="str" cm="1">
        <f t="array" aca="1" ref="C228" ca="1">INDEX({"S001","S002","S003","S004","S005"}, RANDBETWEEN(1,5))</f>
        <v>S004</v>
      </c>
      <c r="D228" s="5" t="str" cm="1">
        <f t="array" aca="1" ref="D228" ca="1">INDEX({"Mumbai","Delhi","Bangalore","Ahmedabad","Chennai"}, RANDBETWEEN(1,5))</f>
        <v>Bangalore</v>
      </c>
      <c r="E228" s="5" t="str" cm="1">
        <f t="array" aca="1" ref="E228" ca="1">INDEX({"Electronics","Groceries","Furniture","Clothing","Stationery"}, RANDBETWEEN(1,5))</f>
        <v>Groceries</v>
      </c>
      <c r="F228" s="5" t="str">
        <f t="shared" ca="1" si="16"/>
        <v>Cooking Oil 1L</v>
      </c>
      <c r="G228" s="8">
        <f t="shared" ca="1" si="17"/>
        <v>31</v>
      </c>
      <c r="H228" s="10">
        <f t="shared" ca="1" si="18"/>
        <v>300</v>
      </c>
      <c r="I228" s="10">
        <f t="shared" ca="1" si="19"/>
        <v>9300</v>
      </c>
      <c r="J228" s="10">
        <f ca="1">Table2[[#This Row],[Unit Price]] * RANDBETWEEN(70,90)/100</f>
        <v>270</v>
      </c>
      <c r="K228" s="12">
        <f ca="1">(Table2[[#This Row],[Unit Price]] - Table2[[#This Row],[Cost per Unit]]) * Table2[[#This Row],[Units Sold]]</f>
        <v>930</v>
      </c>
    </row>
    <row r="229" spans="1:11" ht="15.6" x14ac:dyDescent="0.3">
      <c r="A229" s="5" cm="1">
        <f t="array" ref="A229">1000 + ROW(229:229)</f>
        <v>1229</v>
      </c>
      <c r="B229" s="6">
        <f t="shared" ca="1" si="15"/>
        <v>45300</v>
      </c>
      <c r="C229" s="5" t="str" cm="1">
        <f t="array" aca="1" ref="C229" ca="1">INDEX({"S001","S002","S003","S004","S005"}, RANDBETWEEN(1,5))</f>
        <v>S004</v>
      </c>
      <c r="D229" s="5" t="str" cm="1">
        <f t="array" aca="1" ref="D229" ca="1">INDEX({"Mumbai","Delhi","Bangalore","Ahmedabad","Chennai"}, RANDBETWEEN(1,5))</f>
        <v>Ahmedabad</v>
      </c>
      <c r="E229" s="5" t="str" cm="1">
        <f t="array" aca="1" ref="E229" ca="1">INDEX({"Electronics","Groceries","Furniture","Clothing","Stationery"}, RANDBETWEEN(1,5))</f>
        <v>Furniture</v>
      </c>
      <c r="F229" s="5" t="str">
        <f t="shared" ca="1" si="16"/>
        <v>Table</v>
      </c>
      <c r="G229" s="8">
        <f t="shared" ca="1" si="17"/>
        <v>33</v>
      </c>
      <c r="H229" s="10">
        <f t="shared" ca="1" si="18"/>
        <v>1200</v>
      </c>
      <c r="I229" s="10">
        <f t="shared" ca="1" si="19"/>
        <v>39600</v>
      </c>
      <c r="J229" s="10">
        <f ca="1">Table2[[#This Row],[Unit Price]] * RANDBETWEEN(70,90)/100</f>
        <v>1080</v>
      </c>
      <c r="K229" s="12">
        <f ca="1">(Table2[[#This Row],[Unit Price]] - Table2[[#This Row],[Cost per Unit]]) * Table2[[#This Row],[Units Sold]]</f>
        <v>3960</v>
      </c>
    </row>
    <row r="230" spans="1:11" ht="15.6" x14ac:dyDescent="0.3">
      <c r="A230" s="5" cm="1">
        <f t="array" ref="A230">1000 + ROW(230:230)</f>
        <v>1230</v>
      </c>
      <c r="B230" s="6">
        <f t="shared" ca="1" si="15"/>
        <v>45382</v>
      </c>
      <c r="C230" s="5" t="str" cm="1">
        <f t="array" aca="1" ref="C230" ca="1">INDEX({"S001","S002","S003","S004","S005"}, RANDBETWEEN(1,5))</f>
        <v>S003</v>
      </c>
      <c r="D230" s="5" t="str" cm="1">
        <f t="array" aca="1" ref="D230" ca="1">INDEX({"Mumbai","Delhi","Bangalore","Ahmedabad","Chennai"}, RANDBETWEEN(1,5))</f>
        <v>Ahmedabad</v>
      </c>
      <c r="E230" s="5" t="str" cm="1">
        <f t="array" aca="1" ref="E230" ca="1">INDEX({"Electronics","Groceries","Furniture","Clothing","Stationery"}, RANDBETWEEN(1,5))</f>
        <v>Stationery</v>
      </c>
      <c r="F230" s="5" t="str">
        <f t="shared" ca="1" si="16"/>
        <v>T-shirt</v>
      </c>
      <c r="G230" s="8">
        <f t="shared" ca="1" si="17"/>
        <v>26</v>
      </c>
      <c r="H230" s="10">
        <f t="shared" ca="1" si="18"/>
        <v>700</v>
      </c>
      <c r="I230" s="10">
        <f t="shared" ca="1" si="19"/>
        <v>18200</v>
      </c>
      <c r="J230" s="10">
        <f ca="1">Table2[[#This Row],[Unit Price]] * RANDBETWEEN(70,90)/100</f>
        <v>567</v>
      </c>
      <c r="K230" s="12">
        <f ca="1">(Table2[[#This Row],[Unit Price]] - Table2[[#This Row],[Cost per Unit]]) * Table2[[#This Row],[Units Sold]]</f>
        <v>3458</v>
      </c>
    </row>
    <row r="231" spans="1:11" ht="15.6" x14ac:dyDescent="0.3">
      <c r="A231" s="5" cm="1">
        <f t="array" ref="A231">1000 + ROW(231:231)</f>
        <v>1231</v>
      </c>
      <c r="B231" s="6">
        <f t="shared" ca="1" si="15"/>
        <v>45306</v>
      </c>
      <c r="C231" s="5" t="str" cm="1">
        <f t="array" aca="1" ref="C231" ca="1">INDEX({"S001","S002","S003","S004","S005"}, RANDBETWEEN(1,5))</f>
        <v>S003</v>
      </c>
      <c r="D231" s="5" t="str" cm="1">
        <f t="array" aca="1" ref="D231" ca="1">INDEX({"Mumbai","Delhi","Bangalore","Ahmedabad","Chennai"}, RANDBETWEEN(1,5))</f>
        <v>Delhi</v>
      </c>
      <c r="E231" s="5" t="str" cm="1">
        <f t="array" aca="1" ref="E231" ca="1">INDEX({"Electronics","Groceries","Furniture","Clothing","Stationery"}, RANDBETWEEN(1,5))</f>
        <v>Furniture</v>
      </c>
      <c r="F231" s="5" t="str">
        <f t="shared" ca="1" si="16"/>
        <v>Office Chair</v>
      </c>
      <c r="G231" s="8">
        <f t="shared" ca="1" si="17"/>
        <v>94</v>
      </c>
      <c r="H231" s="10">
        <f t="shared" ca="1" si="18"/>
        <v>500</v>
      </c>
      <c r="I231" s="10">
        <f t="shared" ca="1" si="19"/>
        <v>47000</v>
      </c>
      <c r="J231" s="10">
        <f ca="1">Table2[[#This Row],[Unit Price]] * RANDBETWEEN(70,90)/100</f>
        <v>445</v>
      </c>
      <c r="K231" s="12">
        <f ca="1">(Table2[[#This Row],[Unit Price]] - Table2[[#This Row],[Cost per Unit]]) * Table2[[#This Row],[Units Sold]]</f>
        <v>5170</v>
      </c>
    </row>
    <row r="232" spans="1:11" ht="15.6" x14ac:dyDescent="0.3">
      <c r="A232" s="5" cm="1">
        <f t="array" ref="A232">1000 + ROW(232:232)</f>
        <v>1232</v>
      </c>
      <c r="B232" s="6">
        <f t="shared" ca="1" si="15"/>
        <v>45334</v>
      </c>
      <c r="C232" s="5" t="str" cm="1">
        <f t="array" aca="1" ref="C232" ca="1">INDEX({"S001","S002","S003","S004","S005"}, RANDBETWEEN(1,5))</f>
        <v>S002</v>
      </c>
      <c r="D232" s="5" t="str" cm="1">
        <f t="array" aca="1" ref="D232" ca="1">INDEX({"Mumbai","Delhi","Bangalore","Ahmedabad","Chennai"}, RANDBETWEEN(1,5))</f>
        <v>Ahmedabad</v>
      </c>
      <c r="E232" s="5" t="str" cm="1">
        <f t="array" aca="1" ref="E232" ca="1">INDEX({"Electronics","Groceries","Furniture","Clothing","Stationery"}, RANDBETWEEN(1,5))</f>
        <v>Stationery</v>
      </c>
      <c r="F232" s="5" t="str">
        <f t="shared" ca="1" si="16"/>
        <v>Smartphone</v>
      </c>
      <c r="G232" s="8">
        <f t="shared" ca="1" si="17"/>
        <v>22</v>
      </c>
      <c r="H232" s="10">
        <f t="shared" ca="1" si="18"/>
        <v>30000</v>
      </c>
      <c r="I232" s="10">
        <f t="shared" ca="1" si="19"/>
        <v>660000</v>
      </c>
      <c r="J232" s="10">
        <f ca="1">Table2[[#This Row],[Unit Price]] * RANDBETWEEN(70,90)/100</f>
        <v>24600</v>
      </c>
      <c r="K232" s="12">
        <f ca="1">(Table2[[#This Row],[Unit Price]] - Table2[[#This Row],[Cost per Unit]]) * Table2[[#This Row],[Units Sold]]</f>
        <v>118800</v>
      </c>
    </row>
    <row r="233" spans="1:11" ht="15.6" x14ac:dyDescent="0.3">
      <c r="A233" s="5" cm="1">
        <f t="array" ref="A233">1000 + ROW(233:233)</f>
        <v>1233</v>
      </c>
      <c r="B233" s="6">
        <f t="shared" ca="1" si="15"/>
        <v>45317</v>
      </c>
      <c r="C233" s="5" t="str" cm="1">
        <f t="array" aca="1" ref="C233" ca="1">INDEX({"S001","S002","S003","S004","S005"}, RANDBETWEEN(1,5))</f>
        <v>S005</v>
      </c>
      <c r="D233" s="5" t="str" cm="1">
        <f t="array" aca="1" ref="D233" ca="1">INDEX({"Mumbai","Delhi","Bangalore","Ahmedabad","Chennai"}, RANDBETWEEN(1,5))</f>
        <v>Delhi</v>
      </c>
      <c r="E233" s="5" t="str" cm="1">
        <f t="array" aca="1" ref="E233" ca="1">INDEX({"Electronics","Groceries","Furniture","Clothing","Stationery"}, RANDBETWEEN(1,5))</f>
        <v>Clothing</v>
      </c>
      <c r="F233" s="5" t="str">
        <f t="shared" ca="1" si="16"/>
        <v>Office Chair</v>
      </c>
      <c r="G233" s="8">
        <f t="shared" ca="1" si="17"/>
        <v>84</v>
      </c>
      <c r="H233" s="10">
        <f t="shared" ca="1" si="18"/>
        <v>1200</v>
      </c>
      <c r="I233" s="10">
        <f t="shared" ca="1" si="19"/>
        <v>100800</v>
      </c>
      <c r="J233" s="10">
        <f ca="1">Table2[[#This Row],[Unit Price]] * RANDBETWEEN(70,90)/100</f>
        <v>1008</v>
      </c>
      <c r="K233" s="12">
        <f ca="1">(Table2[[#This Row],[Unit Price]] - Table2[[#This Row],[Cost per Unit]]) * Table2[[#This Row],[Units Sold]]</f>
        <v>16128</v>
      </c>
    </row>
    <row r="234" spans="1:11" ht="15.6" x14ac:dyDescent="0.3">
      <c r="A234" s="5" cm="1">
        <f t="array" ref="A234">1000 + ROW(234:234)</f>
        <v>1234</v>
      </c>
      <c r="B234" s="6">
        <f t="shared" ca="1" si="15"/>
        <v>45340</v>
      </c>
      <c r="C234" s="5" t="str" cm="1">
        <f t="array" aca="1" ref="C234" ca="1">INDEX({"S001","S002","S003","S004","S005"}, RANDBETWEEN(1,5))</f>
        <v>S004</v>
      </c>
      <c r="D234" s="5" t="str" cm="1">
        <f t="array" aca="1" ref="D234" ca="1">INDEX({"Mumbai","Delhi","Bangalore","Ahmedabad","Chennai"}, RANDBETWEEN(1,5))</f>
        <v>Mumbai</v>
      </c>
      <c r="E234" s="5" t="str" cm="1">
        <f t="array" aca="1" ref="E234" ca="1">INDEX({"Electronics","Groceries","Furniture","Clothing","Stationery"}, RANDBETWEEN(1,5))</f>
        <v>Clothing</v>
      </c>
      <c r="F234" s="5" t="str">
        <f t="shared" ca="1" si="16"/>
        <v>Cooking Oil 1L</v>
      </c>
      <c r="G234" s="8">
        <f t="shared" ca="1" si="17"/>
        <v>83</v>
      </c>
      <c r="H234" s="10">
        <f t="shared" ca="1" si="18"/>
        <v>50</v>
      </c>
      <c r="I234" s="10">
        <f t="shared" ca="1" si="19"/>
        <v>4150</v>
      </c>
      <c r="J234" s="10">
        <f ca="1">Table2[[#This Row],[Unit Price]] * RANDBETWEEN(70,90)/100</f>
        <v>40.5</v>
      </c>
      <c r="K234" s="12">
        <f ca="1">(Table2[[#This Row],[Unit Price]] - Table2[[#This Row],[Cost per Unit]]) * Table2[[#This Row],[Units Sold]]</f>
        <v>788.5</v>
      </c>
    </row>
    <row r="235" spans="1:11" ht="15.6" x14ac:dyDescent="0.3">
      <c r="A235" s="5" cm="1">
        <f t="array" ref="A235">1000 + ROW(235:235)</f>
        <v>1235</v>
      </c>
      <c r="B235" s="6">
        <f t="shared" ca="1" si="15"/>
        <v>45364</v>
      </c>
      <c r="C235" s="5" t="str" cm="1">
        <f t="array" aca="1" ref="C235" ca="1">INDEX({"S001","S002","S003","S004","S005"}, RANDBETWEEN(1,5))</f>
        <v>S005</v>
      </c>
      <c r="D235" s="5" t="str" cm="1">
        <f t="array" aca="1" ref="D235" ca="1">INDEX({"Mumbai","Delhi","Bangalore","Ahmedabad","Chennai"}, RANDBETWEEN(1,5))</f>
        <v>Bangalore</v>
      </c>
      <c r="E235" s="5" t="str" cm="1">
        <f t="array" aca="1" ref="E235" ca="1">INDEX({"Electronics","Groceries","Furniture","Clothing","Stationery"}, RANDBETWEEN(1,5))</f>
        <v>Furniture</v>
      </c>
      <c r="F235" s="5" t="str">
        <f t="shared" ca="1" si="16"/>
        <v>Cooking Oil 1L</v>
      </c>
      <c r="G235" s="8">
        <f t="shared" ca="1" si="17"/>
        <v>14</v>
      </c>
      <c r="H235" s="10">
        <f t="shared" ca="1" si="18"/>
        <v>150</v>
      </c>
      <c r="I235" s="10">
        <f t="shared" ca="1" si="19"/>
        <v>2100</v>
      </c>
      <c r="J235" s="10">
        <f ca="1">Table2[[#This Row],[Unit Price]] * RANDBETWEEN(70,90)/100</f>
        <v>115.5</v>
      </c>
      <c r="K235" s="12">
        <f ca="1">(Table2[[#This Row],[Unit Price]] - Table2[[#This Row],[Cost per Unit]]) * Table2[[#This Row],[Units Sold]]</f>
        <v>483</v>
      </c>
    </row>
    <row r="236" spans="1:11" ht="15.6" x14ac:dyDescent="0.3">
      <c r="A236" s="5" cm="1">
        <f t="array" ref="A236">1000 + ROW(236:236)</f>
        <v>1236</v>
      </c>
      <c r="B236" s="6">
        <f t="shared" ca="1" si="15"/>
        <v>45322</v>
      </c>
      <c r="C236" s="5" t="str" cm="1">
        <f t="array" aca="1" ref="C236" ca="1">INDEX({"S001","S002","S003","S004","S005"}, RANDBETWEEN(1,5))</f>
        <v>S005</v>
      </c>
      <c r="D236" s="5" t="str" cm="1">
        <f t="array" aca="1" ref="D236" ca="1">INDEX({"Mumbai","Delhi","Bangalore","Ahmedabad","Chennai"}, RANDBETWEEN(1,5))</f>
        <v>Mumbai</v>
      </c>
      <c r="E236" s="5" t="str" cm="1">
        <f t="array" aca="1" ref="E236" ca="1">INDEX({"Electronics","Groceries","Furniture","Clothing","Stationery"}, RANDBETWEEN(1,5))</f>
        <v>Stationery</v>
      </c>
      <c r="F236" s="5" t="str">
        <f t="shared" ca="1" si="16"/>
        <v>Smartphone</v>
      </c>
      <c r="G236" s="8">
        <f t="shared" ca="1" si="17"/>
        <v>93</v>
      </c>
      <c r="H236" s="10">
        <f t="shared" ca="1" si="18"/>
        <v>1200</v>
      </c>
      <c r="I236" s="10">
        <f t="shared" ca="1" si="19"/>
        <v>111600</v>
      </c>
      <c r="J236" s="10">
        <f ca="1">Table2[[#This Row],[Unit Price]] * RANDBETWEEN(70,90)/100</f>
        <v>900</v>
      </c>
      <c r="K236" s="12">
        <f ca="1">(Table2[[#This Row],[Unit Price]] - Table2[[#This Row],[Cost per Unit]]) * Table2[[#This Row],[Units Sold]]</f>
        <v>27900</v>
      </c>
    </row>
    <row r="237" spans="1:11" ht="15.6" x14ac:dyDescent="0.3">
      <c r="A237" s="5" cm="1">
        <f t="array" ref="A237">1000 + ROW(237:237)</f>
        <v>1237</v>
      </c>
      <c r="B237" s="6">
        <f t="shared" ca="1" si="15"/>
        <v>45335</v>
      </c>
      <c r="C237" s="5" t="str" cm="1">
        <f t="array" aca="1" ref="C237" ca="1">INDEX({"S001","S002","S003","S004","S005"}, RANDBETWEEN(1,5))</f>
        <v>S003</v>
      </c>
      <c r="D237" s="5" t="str" cm="1">
        <f t="array" aca="1" ref="D237" ca="1">INDEX({"Mumbai","Delhi","Bangalore","Ahmedabad","Chennai"}, RANDBETWEEN(1,5))</f>
        <v>Ahmedabad</v>
      </c>
      <c r="E237" s="5" t="str" cm="1">
        <f t="array" aca="1" ref="E237" ca="1">INDEX({"Electronics","Groceries","Furniture","Clothing","Stationery"}, RANDBETWEEN(1,5))</f>
        <v>Electronics</v>
      </c>
      <c r="F237" s="5" t="str">
        <f t="shared" ca="1" si="16"/>
        <v>Cooking Oil 1L</v>
      </c>
      <c r="G237" s="8">
        <f t="shared" ca="1" si="17"/>
        <v>56</v>
      </c>
      <c r="H237" s="10">
        <f t="shared" ca="1" si="18"/>
        <v>900</v>
      </c>
      <c r="I237" s="10">
        <f t="shared" ca="1" si="19"/>
        <v>50400</v>
      </c>
      <c r="J237" s="10">
        <f ca="1">Table2[[#This Row],[Unit Price]] * RANDBETWEEN(70,90)/100</f>
        <v>711</v>
      </c>
      <c r="K237" s="12">
        <f ca="1">(Table2[[#This Row],[Unit Price]] - Table2[[#This Row],[Cost per Unit]]) * Table2[[#This Row],[Units Sold]]</f>
        <v>10584</v>
      </c>
    </row>
    <row r="238" spans="1:11" ht="15.6" x14ac:dyDescent="0.3">
      <c r="A238" s="5" cm="1">
        <f t="array" ref="A238">1000 + ROW(238:238)</f>
        <v>1238</v>
      </c>
      <c r="B238" s="6">
        <f t="shared" ca="1" si="15"/>
        <v>45327</v>
      </c>
      <c r="C238" s="5" t="str" cm="1">
        <f t="array" aca="1" ref="C238" ca="1">INDEX({"S001","S002","S003","S004","S005"}, RANDBETWEEN(1,5))</f>
        <v>S005</v>
      </c>
      <c r="D238" s="5" t="str" cm="1">
        <f t="array" aca="1" ref="D238" ca="1">INDEX({"Mumbai","Delhi","Bangalore","Ahmedabad","Chennai"}, RANDBETWEEN(1,5))</f>
        <v>Delhi</v>
      </c>
      <c r="E238" s="5" t="str" cm="1">
        <f t="array" aca="1" ref="E238" ca="1">INDEX({"Electronics","Groceries","Furniture","Clothing","Stationery"}, RANDBETWEEN(1,5))</f>
        <v>Stationery</v>
      </c>
      <c r="F238" s="5" t="str">
        <f t="shared" ca="1" si="16"/>
        <v>Laptop</v>
      </c>
      <c r="G238" s="8">
        <f t="shared" ca="1" si="17"/>
        <v>18</v>
      </c>
      <c r="H238" s="10">
        <f t="shared" ca="1" si="18"/>
        <v>50</v>
      </c>
      <c r="I238" s="10">
        <f t="shared" ca="1" si="19"/>
        <v>900</v>
      </c>
      <c r="J238" s="10">
        <f ca="1">Table2[[#This Row],[Unit Price]] * RANDBETWEEN(70,90)/100</f>
        <v>44</v>
      </c>
      <c r="K238" s="12">
        <f ca="1">(Table2[[#This Row],[Unit Price]] - Table2[[#This Row],[Cost per Unit]]) * Table2[[#This Row],[Units Sold]]</f>
        <v>108</v>
      </c>
    </row>
    <row r="239" spans="1:11" ht="15.6" x14ac:dyDescent="0.3">
      <c r="A239" s="5" cm="1">
        <f t="array" ref="A239">1000 + ROW(239:239)</f>
        <v>1239</v>
      </c>
      <c r="B239" s="6">
        <f t="shared" ca="1" si="15"/>
        <v>45381</v>
      </c>
      <c r="C239" s="5" t="str" cm="1">
        <f t="array" aca="1" ref="C239" ca="1">INDEX({"S001","S002","S003","S004","S005"}, RANDBETWEEN(1,5))</f>
        <v>S004</v>
      </c>
      <c r="D239" s="5" t="str" cm="1">
        <f t="array" aca="1" ref="D239" ca="1">INDEX({"Mumbai","Delhi","Bangalore","Ahmedabad","Chennai"}, RANDBETWEEN(1,5))</f>
        <v>Delhi</v>
      </c>
      <c r="E239" s="5" t="str" cm="1">
        <f t="array" aca="1" ref="E239" ca="1">INDEX({"Electronics","Groceries","Furniture","Clothing","Stationery"}, RANDBETWEEN(1,5))</f>
        <v>Stationery</v>
      </c>
      <c r="F239" s="5" t="str">
        <f t="shared" ca="1" si="16"/>
        <v>Office Chair</v>
      </c>
      <c r="G239" s="8">
        <f t="shared" ca="1" si="17"/>
        <v>45</v>
      </c>
      <c r="H239" s="10">
        <f t="shared" ca="1" si="18"/>
        <v>30000</v>
      </c>
      <c r="I239" s="10">
        <f t="shared" ca="1" si="19"/>
        <v>1350000</v>
      </c>
      <c r="J239" s="10">
        <f ca="1">Table2[[#This Row],[Unit Price]] * RANDBETWEEN(70,90)/100</f>
        <v>22500</v>
      </c>
      <c r="K239" s="12">
        <f ca="1">(Table2[[#This Row],[Unit Price]] - Table2[[#This Row],[Cost per Unit]]) * Table2[[#This Row],[Units Sold]]</f>
        <v>337500</v>
      </c>
    </row>
    <row r="240" spans="1:11" ht="15.6" x14ac:dyDescent="0.3">
      <c r="A240" s="5" cm="1">
        <f t="array" ref="A240">1000 + ROW(240:240)</f>
        <v>1240</v>
      </c>
      <c r="B240" s="6">
        <f t="shared" ca="1" si="15"/>
        <v>45351</v>
      </c>
      <c r="C240" s="5" t="str" cm="1">
        <f t="array" aca="1" ref="C240" ca="1">INDEX({"S001","S002","S003","S004","S005"}, RANDBETWEEN(1,5))</f>
        <v>S003</v>
      </c>
      <c r="D240" s="5" t="str" cm="1">
        <f t="array" aca="1" ref="D240" ca="1">INDEX({"Mumbai","Delhi","Bangalore","Ahmedabad","Chennai"}, RANDBETWEEN(1,5))</f>
        <v>Delhi</v>
      </c>
      <c r="E240" s="5" t="str" cm="1">
        <f t="array" aca="1" ref="E240" ca="1">INDEX({"Electronics","Groceries","Furniture","Clothing","Stationery"}, RANDBETWEEN(1,5))</f>
        <v>Furniture</v>
      </c>
      <c r="F240" s="5" t="str">
        <f t="shared" ca="1" si="16"/>
        <v>Table</v>
      </c>
      <c r="G240" s="8">
        <f t="shared" ca="1" si="17"/>
        <v>23</v>
      </c>
      <c r="H240" s="10">
        <f t="shared" ca="1" si="18"/>
        <v>900</v>
      </c>
      <c r="I240" s="10">
        <f t="shared" ca="1" si="19"/>
        <v>20700</v>
      </c>
      <c r="J240" s="10">
        <f ca="1">Table2[[#This Row],[Unit Price]] * RANDBETWEEN(70,90)/100</f>
        <v>657</v>
      </c>
      <c r="K240" s="12">
        <f ca="1">(Table2[[#This Row],[Unit Price]] - Table2[[#This Row],[Cost per Unit]]) * Table2[[#This Row],[Units Sold]]</f>
        <v>5589</v>
      </c>
    </row>
    <row r="241" spans="1:11" ht="15.6" x14ac:dyDescent="0.3">
      <c r="A241" s="5" cm="1">
        <f t="array" ref="A241">1000 + ROW(241:241)</f>
        <v>1241</v>
      </c>
      <c r="B241" s="6">
        <f t="shared" ca="1" si="15"/>
        <v>45347</v>
      </c>
      <c r="C241" s="5" t="str" cm="1">
        <f t="array" aca="1" ref="C241" ca="1">INDEX({"S001","S002","S003","S004","S005"}, RANDBETWEEN(1,5))</f>
        <v>S004</v>
      </c>
      <c r="D241" s="5" t="str" cm="1">
        <f t="array" aca="1" ref="D241" ca="1">INDEX({"Mumbai","Delhi","Bangalore","Ahmedabad","Chennai"}, RANDBETWEEN(1,5))</f>
        <v>Bangalore</v>
      </c>
      <c r="E241" s="5" t="str" cm="1">
        <f t="array" aca="1" ref="E241" ca="1">INDEX({"Electronics","Groceries","Furniture","Clothing","Stationery"}, RANDBETWEEN(1,5))</f>
        <v>Furniture</v>
      </c>
      <c r="F241" s="5" t="str">
        <f t="shared" ca="1" si="16"/>
        <v>Smartphone</v>
      </c>
      <c r="G241" s="8">
        <f t="shared" ca="1" si="17"/>
        <v>67</v>
      </c>
      <c r="H241" s="10">
        <f t="shared" ca="1" si="18"/>
        <v>300</v>
      </c>
      <c r="I241" s="10">
        <f t="shared" ca="1" si="19"/>
        <v>20100</v>
      </c>
      <c r="J241" s="10">
        <f ca="1">Table2[[#This Row],[Unit Price]] * RANDBETWEEN(70,90)/100</f>
        <v>255</v>
      </c>
      <c r="K241" s="12">
        <f ca="1">(Table2[[#This Row],[Unit Price]] - Table2[[#This Row],[Cost per Unit]]) * Table2[[#This Row],[Units Sold]]</f>
        <v>3015</v>
      </c>
    </row>
    <row r="242" spans="1:11" ht="15.6" x14ac:dyDescent="0.3">
      <c r="A242" s="5" cm="1">
        <f t="array" ref="A242">1000 + ROW(242:242)</f>
        <v>1242</v>
      </c>
      <c r="B242" s="6">
        <f t="shared" ca="1" si="15"/>
        <v>45358</v>
      </c>
      <c r="C242" s="5" t="str" cm="1">
        <f t="array" aca="1" ref="C242" ca="1">INDEX({"S001","S002","S003","S004","S005"}, RANDBETWEEN(1,5))</f>
        <v>S001</v>
      </c>
      <c r="D242" s="5" t="str" cm="1">
        <f t="array" aca="1" ref="D242" ca="1">INDEX({"Mumbai","Delhi","Bangalore","Ahmedabad","Chennai"}, RANDBETWEEN(1,5))</f>
        <v>Mumbai</v>
      </c>
      <c r="E242" s="5" t="str" cm="1">
        <f t="array" aca="1" ref="E242" ca="1">INDEX({"Electronics","Groceries","Furniture","Clothing","Stationery"}, RANDBETWEEN(1,5))</f>
        <v>Electronics</v>
      </c>
      <c r="F242" s="5" t="str">
        <f t="shared" ca="1" si="16"/>
        <v>Table</v>
      </c>
      <c r="G242" s="8">
        <f t="shared" ca="1" si="17"/>
        <v>62</v>
      </c>
      <c r="H242" s="10">
        <f t="shared" ca="1" si="18"/>
        <v>1200</v>
      </c>
      <c r="I242" s="10">
        <f t="shared" ca="1" si="19"/>
        <v>74400</v>
      </c>
      <c r="J242" s="10">
        <f ca="1">Table2[[#This Row],[Unit Price]] * RANDBETWEEN(70,90)/100</f>
        <v>876</v>
      </c>
      <c r="K242" s="12">
        <f ca="1">(Table2[[#This Row],[Unit Price]] - Table2[[#This Row],[Cost per Unit]]) * Table2[[#This Row],[Units Sold]]</f>
        <v>20088</v>
      </c>
    </row>
    <row r="243" spans="1:11" ht="15.6" x14ac:dyDescent="0.3">
      <c r="A243" s="5" cm="1">
        <f t="array" ref="A243">1000 + ROW(243:243)</f>
        <v>1243</v>
      </c>
      <c r="B243" s="6">
        <f t="shared" ca="1" si="15"/>
        <v>45304</v>
      </c>
      <c r="C243" s="5" t="str" cm="1">
        <f t="array" aca="1" ref="C243" ca="1">INDEX({"S001","S002","S003","S004","S005"}, RANDBETWEEN(1,5))</f>
        <v>S004</v>
      </c>
      <c r="D243" s="5" t="str" cm="1">
        <f t="array" aca="1" ref="D243" ca="1">INDEX({"Mumbai","Delhi","Bangalore","Ahmedabad","Chennai"}, RANDBETWEEN(1,5))</f>
        <v>Chennai</v>
      </c>
      <c r="E243" s="5" t="str" cm="1">
        <f t="array" aca="1" ref="E243" ca="1">INDEX({"Electronics","Groceries","Furniture","Clothing","Stationery"}, RANDBETWEEN(1,5))</f>
        <v>Furniture</v>
      </c>
      <c r="F243" s="5" t="str">
        <f t="shared" ca="1" si="16"/>
        <v>Rice 5kg</v>
      </c>
      <c r="G243" s="8">
        <f t="shared" ca="1" si="17"/>
        <v>21</v>
      </c>
      <c r="H243" s="10">
        <f t="shared" ca="1" si="18"/>
        <v>30000</v>
      </c>
      <c r="I243" s="10">
        <f t="shared" ca="1" si="19"/>
        <v>630000</v>
      </c>
      <c r="J243" s="10">
        <f ca="1">Table2[[#This Row],[Unit Price]] * RANDBETWEEN(70,90)/100</f>
        <v>27000</v>
      </c>
      <c r="K243" s="12">
        <f ca="1">(Table2[[#This Row],[Unit Price]] - Table2[[#This Row],[Cost per Unit]]) * Table2[[#This Row],[Units Sold]]</f>
        <v>63000</v>
      </c>
    </row>
    <row r="244" spans="1:11" ht="15.6" x14ac:dyDescent="0.3">
      <c r="A244" s="5" cm="1">
        <f t="array" ref="A244">1000 + ROW(244:244)</f>
        <v>1244</v>
      </c>
      <c r="B244" s="6">
        <f t="shared" ca="1" si="15"/>
        <v>45338</v>
      </c>
      <c r="C244" s="5" t="str" cm="1">
        <f t="array" aca="1" ref="C244" ca="1">INDEX({"S001","S002","S003","S004","S005"}, RANDBETWEEN(1,5))</f>
        <v>S005</v>
      </c>
      <c r="D244" s="5" t="str" cm="1">
        <f t="array" aca="1" ref="D244" ca="1">INDEX({"Mumbai","Delhi","Bangalore","Ahmedabad","Chennai"}, RANDBETWEEN(1,5))</f>
        <v>Bangalore</v>
      </c>
      <c r="E244" s="5" t="str" cm="1">
        <f t="array" aca="1" ref="E244" ca="1">INDEX({"Electronics","Groceries","Furniture","Clothing","Stationery"}, RANDBETWEEN(1,5))</f>
        <v>Groceries</v>
      </c>
      <c r="F244" s="5" t="str">
        <f t="shared" ca="1" si="16"/>
        <v>Shampoo</v>
      </c>
      <c r="G244" s="8">
        <f t="shared" ca="1" si="17"/>
        <v>16</v>
      </c>
      <c r="H244" s="10">
        <f t="shared" ca="1" si="18"/>
        <v>700</v>
      </c>
      <c r="I244" s="10">
        <f t="shared" ca="1" si="19"/>
        <v>11200</v>
      </c>
      <c r="J244" s="10">
        <f ca="1">Table2[[#This Row],[Unit Price]] * RANDBETWEEN(70,90)/100</f>
        <v>581</v>
      </c>
      <c r="K244" s="12">
        <f ca="1">(Table2[[#This Row],[Unit Price]] - Table2[[#This Row],[Cost per Unit]]) * Table2[[#This Row],[Units Sold]]</f>
        <v>1904</v>
      </c>
    </row>
    <row r="245" spans="1:11" ht="15.6" x14ac:dyDescent="0.3">
      <c r="A245" s="5" cm="1">
        <f t="array" ref="A245">1000 + ROW(245:245)</f>
        <v>1245</v>
      </c>
      <c r="B245" s="6">
        <f t="shared" ca="1" si="15"/>
        <v>45312</v>
      </c>
      <c r="C245" s="5" t="str" cm="1">
        <f t="array" aca="1" ref="C245" ca="1">INDEX({"S001","S002","S003","S004","S005"}, RANDBETWEEN(1,5))</f>
        <v>S002</v>
      </c>
      <c r="D245" s="5" t="str" cm="1">
        <f t="array" aca="1" ref="D245" ca="1">INDEX({"Mumbai","Delhi","Bangalore","Ahmedabad","Chennai"}, RANDBETWEEN(1,5))</f>
        <v>Chennai</v>
      </c>
      <c r="E245" s="5" t="str" cm="1">
        <f t="array" aca="1" ref="E245" ca="1">INDEX({"Electronics","Groceries","Furniture","Clothing","Stationery"}, RANDBETWEEN(1,5))</f>
        <v>Stationery</v>
      </c>
      <c r="F245" s="5" t="str">
        <f t="shared" ca="1" si="16"/>
        <v>Rice 5kg</v>
      </c>
      <c r="G245" s="8">
        <f t="shared" ca="1" si="17"/>
        <v>80</v>
      </c>
      <c r="H245" s="10">
        <f t="shared" ca="1" si="18"/>
        <v>150</v>
      </c>
      <c r="I245" s="10">
        <f t="shared" ca="1" si="19"/>
        <v>12000</v>
      </c>
      <c r="J245" s="10">
        <f ca="1">Table2[[#This Row],[Unit Price]] * RANDBETWEEN(70,90)/100</f>
        <v>126</v>
      </c>
      <c r="K245" s="12">
        <f ca="1">(Table2[[#This Row],[Unit Price]] - Table2[[#This Row],[Cost per Unit]]) * Table2[[#This Row],[Units Sold]]</f>
        <v>1920</v>
      </c>
    </row>
    <row r="246" spans="1:11" ht="15.6" x14ac:dyDescent="0.3">
      <c r="A246" s="5" cm="1">
        <f t="array" ref="A246">1000 + ROW(246:246)</f>
        <v>1246</v>
      </c>
      <c r="B246" s="6">
        <f t="shared" ca="1" si="15"/>
        <v>45316</v>
      </c>
      <c r="C246" s="5" t="str" cm="1">
        <f t="array" aca="1" ref="C246" ca="1">INDEX({"S001","S002","S003","S004","S005"}, RANDBETWEEN(1,5))</f>
        <v>S001</v>
      </c>
      <c r="D246" s="5" t="str" cm="1">
        <f t="array" aca="1" ref="D246" ca="1">INDEX({"Mumbai","Delhi","Bangalore","Ahmedabad","Chennai"}, RANDBETWEEN(1,5))</f>
        <v>Mumbai</v>
      </c>
      <c r="E246" s="5" t="str" cm="1">
        <f t="array" aca="1" ref="E246" ca="1">INDEX({"Electronics","Groceries","Furniture","Clothing","Stationery"}, RANDBETWEEN(1,5))</f>
        <v>Electronics</v>
      </c>
      <c r="F246" s="5" t="str">
        <f t="shared" ca="1" si="16"/>
        <v>T-shirt</v>
      </c>
      <c r="G246" s="8">
        <f t="shared" ca="1" si="17"/>
        <v>71</v>
      </c>
      <c r="H246" s="10">
        <f t="shared" ca="1" si="18"/>
        <v>150</v>
      </c>
      <c r="I246" s="10">
        <f t="shared" ca="1" si="19"/>
        <v>10650</v>
      </c>
      <c r="J246" s="10">
        <f ca="1">Table2[[#This Row],[Unit Price]] * RANDBETWEEN(70,90)/100</f>
        <v>120</v>
      </c>
      <c r="K246" s="12">
        <f ca="1">(Table2[[#This Row],[Unit Price]] - Table2[[#This Row],[Cost per Unit]]) * Table2[[#This Row],[Units Sold]]</f>
        <v>2130</v>
      </c>
    </row>
    <row r="247" spans="1:11" ht="15.6" x14ac:dyDescent="0.3">
      <c r="A247" s="5" cm="1">
        <f t="array" ref="A247">1000 + ROW(247:247)</f>
        <v>1247</v>
      </c>
      <c r="B247" s="6">
        <f t="shared" ca="1" si="15"/>
        <v>45293</v>
      </c>
      <c r="C247" s="5" t="str" cm="1">
        <f t="array" aca="1" ref="C247" ca="1">INDEX({"S001","S002","S003","S004","S005"}, RANDBETWEEN(1,5))</f>
        <v>S002</v>
      </c>
      <c r="D247" s="5" t="str" cm="1">
        <f t="array" aca="1" ref="D247" ca="1">INDEX({"Mumbai","Delhi","Bangalore","Ahmedabad","Chennai"}, RANDBETWEEN(1,5))</f>
        <v>Chennai</v>
      </c>
      <c r="E247" s="5" t="str" cm="1">
        <f t="array" aca="1" ref="E247" ca="1">INDEX({"Electronics","Groceries","Furniture","Clothing","Stationery"}, RANDBETWEEN(1,5))</f>
        <v>Electronics</v>
      </c>
      <c r="F247" s="5" t="str">
        <f t="shared" ca="1" si="16"/>
        <v>T-shirt</v>
      </c>
      <c r="G247" s="8">
        <f t="shared" ca="1" si="17"/>
        <v>99</v>
      </c>
      <c r="H247" s="10">
        <f t="shared" ca="1" si="18"/>
        <v>500</v>
      </c>
      <c r="I247" s="10">
        <f t="shared" ca="1" si="19"/>
        <v>49500</v>
      </c>
      <c r="J247" s="10">
        <f ca="1">Table2[[#This Row],[Unit Price]] * RANDBETWEEN(70,90)/100</f>
        <v>350</v>
      </c>
      <c r="K247" s="12">
        <f ca="1">(Table2[[#This Row],[Unit Price]] - Table2[[#This Row],[Cost per Unit]]) * Table2[[#This Row],[Units Sold]]</f>
        <v>14850</v>
      </c>
    </row>
    <row r="248" spans="1:11" ht="15.6" x14ac:dyDescent="0.3">
      <c r="A248" s="5" cm="1">
        <f t="array" ref="A248">1000 + ROW(248:248)</f>
        <v>1248</v>
      </c>
      <c r="B248" s="6">
        <f t="shared" ca="1" si="15"/>
        <v>45364</v>
      </c>
      <c r="C248" s="5" t="str" cm="1">
        <f t="array" aca="1" ref="C248" ca="1">INDEX({"S001","S002","S003","S004","S005"}, RANDBETWEEN(1,5))</f>
        <v>S002</v>
      </c>
      <c r="D248" s="5" t="str" cm="1">
        <f t="array" aca="1" ref="D248" ca="1">INDEX({"Mumbai","Delhi","Bangalore","Ahmedabad","Chennai"}, RANDBETWEEN(1,5))</f>
        <v>Bangalore</v>
      </c>
      <c r="E248" s="5" t="str" cm="1">
        <f t="array" aca="1" ref="E248" ca="1">INDEX({"Electronics","Groceries","Furniture","Clothing","Stationery"}, RANDBETWEEN(1,5))</f>
        <v>Clothing</v>
      </c>
      <c r="F248" s="5" t="str">
        <f t="shared" ca="1" si="16"/>
        <v>Notebook</v>
      </c>
      <c r="G248" s="8">
        <f t="shared" ca="1" si="17"/>
        <v>95</v>
      </c>
      <c r="H248" s="10">
        <f t="shared" ca="1" si="18"/>
        <v>1200</v>
      </c>
      <c r="I248" s="10">
        <f t="shared" ca="1" si="19"/>
        <v>114000</v>
      </c>
      <c r="J248" s="10">
        <f ca="1">Table2[[#This Row],[Unit Price]] * RANDBETWEEN(70,90)/100</f>
        <v>876</v>
      </c>
      <c r="K248" s="12">
        <f ca="1">(Table2[[#This Row],[Unit Price]] - Table2[[#This Row],[Cost per Unit]]) * Table2[[#This Row],[Units Sold]]</f>
        <v>30780</v>
      </c>
    </row>
    <row r="249" spans="1:11" ht="15.6" x14ac:dyDescent="0.3">
      <c r="A249" s="5" cm="1">
        <f t="array" ref="A249">1000 + ROW(249:249)</f>
        <v>1249</v>
      </c>
      <c r="B249" s="6">
        <f t="shared" ca="1" si="15"/>
        <v>45293</v>
      </c>
      <c r="C249" s="5" t="str" cm="1">
        <f t="array" aca="1" ref="C249" ca="1">INDEX({"S001","S002","S003","S004","S005"}, RANDBETWEEN(1,5))</f>
        <v>S004</v>
      </c>
      <c r="D249" s="5" t="str" cm="1">
        <f t="array" aca="1" ref="D249" ca="1">INDEX({"Mumbai","Delhi","Bangalore","Ahmedabad","Chennai"}, RANDBETWEEN(1,5))</f>
        <v>Chennai</v>
      </c>
      <c r="E249" s="5" t="str" cm="1">
        <f t="array" aca="1" ref="E249" ca="1">INDEX({"Electronics","Groceries","Furniture","Clothing","Stationery"}, RANDBETWEEN(1,5))</f>
        <v>Stationery</v>
      </c>
      <c r="F249" s="5" t="str">
        <f t="shared" ca="1" si="16"/>
        <v>Cooking Oil 1L</v>
      </c>
      <c r="G249" s="8">
        <f t="shared" ca="1" si="17"/>
        <v>76</v>
      </c>
      <c r="H249" s="10">
        <f t="shared" ca="1" si="18"/>
        <v>300</v>
      </c>
      <c r="I249" s="10">
        <f t="shared" ca="1" si="19"/>
        <v>22800</v>
      </c>
      <c r="J249" s="10">
        <f ca="1">Table2[[#This Row],[Unit Price]] * RANDBETWEEN(70,90)/100</f>
        <v>243</v>
      </c>
      <c r="K249" s="12">
        <f ca="1">(Table2[[#This Row],[Unit Price]] - Table2[[#This Row],[Cost per Unit]]) * Table2[[#This Row],[Units Sold]]</f>
        <v>4332</v>
      </c>
    </row>
    <row r="250" spans="1:11" ht="15.6" x14ac:dyDescent="0.3">
      <c r="A250" s="5" cm="1">
        <f t="array" ref="A250">1000 + ROW(250:250)</f>
        <v>1250</v>
      </c>
      <c r="B250" s="6">
        <f t="shared" ca="1" si="15"/>
        <v>45351</v>
      </c>
      <c r="C250" s="5" t="str" cm="1">
        <f t="array" aca="1" ref="C250" ca="1">INDEX({"S001","S002","S003","S004","S005"}, RANDBETWEEN(1,5))</f>
        <v>S001</v>
      </c>
      <c r="D250" s="5" t="str" cm="1">
        <f t="array" aca="1" ref="D250" ca="1">INDEX({"Mumbai","Delhi","Bangalore","Ahmedabad","Chennai"}, RANDBETWEEN(1,5))</f>
        <v>Mumbai</v>
      </c>
      <c r="E250" s="5" t="str" cm="1">
        <f t="array" aca="1" ref="E250" ca="1">INDEX({"Electronics","Groceries","Furniture","Clothing","Stationery"}, RANDBETWEEN(1,5))</f>
        <v>Electronics</v>
      </c>
      <c r="F250" s="5" t="str">
        <f t="shared" ca="1" si="16"/>
        <v>Cooking Oil 1L</v>
      </c>
      <c r="G250" s="8">
        <f t="shared" ca="1" si="17"/>
        <v>28</v>
      </c>
      <c r="H250" s="10">
        <f t="shared" ca="1" si="18"/>
        <v>150</v>
      </c>
      <c r="I250" s="10">
        <f t="shared" ca="1" si="19"/>
        <v>4200</v>
      </c>
      <c r="J250" s="10">
        <f ca="1">Table2[[#This Row],[Unit Price]] * RANDBETWEEN(70,90)/100</f>
        <v>106.5</v>
      </c>
      <c r="K250" s="12">
        <f ca="1">(Table2[[#This Row],[Unit Price]] - Table2[[#This Row],[Cost per Unit]]) * Table2[[#This Row],[Units Sold]]</f>
        <v>1218</v>
      </c>
    </row>
    <row r="251" spans="1:11" ht="15.6" x14ac:dyDescent="0.3">
      <c r="A251" s="5" cm="1">
        <f t="array" ref="A251">1000 + ROW(251:251)</f>
        <v>1251</v>
      </c>
      <c r="B251" s="6">
        <f t="shared" ca="1" si="15"/>
        <v>45323</v>
      </c>
      <c r="C251" s="5" t="str" cm="1">
        <f t="array" aca="1" ref="C251" ca="1">INDEX({"S001","S002","S003","S004","S005"}, RANDBETWEEN(1,5))</f>
        <v>S004</v>
      </c>
      <c r="D251" s="5" t="str" cm="1">
        <f t="array" aca="1" ref="D251" ca="1">INDEX({"Mumbai","Delhi","Bangalore","Ahmedabad","Chennai"}, RANDBETWEEN(1,5))</f>
        <v>Ahmedabad</v>
      </c>
      <c r="E251" s="5" t="str" cm="1">
        <f t="array" aca="1" ref="E251" ca="1">INDEX({"Electronics","Groceries","Furniture","Clothing","Stationery"}, RANDBETWEEN(1,5))</f>
        <v>Clothing</v>
      </c>
      <c r="F251" s="5" t="str">
        <f t="shared" ca="1" si="16"/>
        <v>Smartphone</v>
      </c>
      <c r="G251" s="8">
        <f t="shared" ca="1" si="17"/>
        <v>98</v>
      </c>
      <c r="H251" s="10">
        <f t="shared" ca="1" si="18"/>
        <v>900</v>
      </c>
      <c r="I251" s="10">
        <f t="shared" ca="1" si="19"/>
        <v>88200</v>
      </c>
      <c r="J251" s="10">
        <f ca="1">Table2[[#This Row],[Unit Price]] * RANDBETWEEN(70,90)/100</f>
        <v>738</v>
      </c>
      <c r="K251" s="12">
        <f ca="1">(Table2[[#This Row],[Unit Price]] - Table2[[#This Row],[Cost per Unit]]) * Table2[[#This Row],[Units Sold]]</f>
        <v>15876</v>
      </c>
    </row>
    <row r="252" spans="1:11" ht="15.6" x14ac:dyDescent="0.3">
      <c r="A252" s="5" cm="1">
        <f t="array" ref="A252">1000 + ROW(252:252)</f>
        <v>1252</v>
      </c>
      <c r="B252" s="6">
        <f t="shared" ca="1" si="15"/>
        <v>45314</v>
      </c>
      <c r="C252" s="5" t="str" cm="1">
        <f t="array" aca="1" ref="C252" ca="1">INDEX({"S001","S002","S003","S004","S005"}, RANDBETWEEN(1,5))</f>
        <v>S002</v>
      </c>
      <c r="D252" s="5" t="str" cm="1">
        <f t="array" aca="1" ref="D252" ca="1">INDEX({"Mumbai","Delhi","Bangalore","Ahmedabad","Chennai"}, RANDBETWEEN(1,5))</f>
        <v>Bangalore</v>
      </c>
      <c r="E252" s="5" t="str" cm="1">
        <f t="array" aca="1" ref="E252" ca="1">INDEX({"Electronics","Groceries","Furniture","Clothing","Stationery"}, RANDBETWEEN(1,5))</f>
        <v>Groceries</v>
      </c>
      <c r="F252" s="5" t="str">
        <f t="shared" ca="1" si="16"/>
        <v>T-shirt</v>
      </c>
      <c r="G252" s="8">
        <f t="shared" ca="1" si="17"/>
        <v>64</v>
      </c>
      <c r="H252" s="10">
        <f t="shared" ca="1" si="18"/>
        <v>500</v>
      </c>
      <c r="I252" s="10">
        <f t="shared" ca="1" si="19"/>
        <v>32000</v>
      </c>
      <c r="J252" s="10">
        <f ca="1">Table2[[#This Row],[Unit Price]] * RANDBETWEEN(70,90)/100</f>
        <v>405</v>
      </c>
      <c r="K252" s="12">
        <f ca="1">(Table2[[#This Row],[Unit Price]] - Table2[[#This Row],[Cost per Unit]]) * Table2[[#This Row],[Units Sold]]</f>
        <v>6080</v>
      </c>
    </row>
    <row r="253" spans="1:11" ht="15.6" x14ac:dyDescent="0.3">
      <c r="A253" s="5" cm="1">
        <f t="array" ref="A253">1000 + ROW(253:253)</f>
        <v>1253</v>
      </c>
      <c r="B253" s="6">
        <f t="shared" ca="1" si="15"/>
        <v>45380</v>
      </c>
      <c r="C253" s="5" t="str" cm="1">
        <f t="array" aca="1" ref="C253" ca="1">INDEX({"S001","S002","S003","S004","S005"}, RANDBETWEEN(1,5))</f>
        <v>S004</v>
      </c>
      <c r="D253" s="5" t="str" cm="1">
        <f t="array" aca="1" ref="D253" ca="1">INDEX({"Mumbai","Delhi","Bangalore","Ahmedabad","Chennai"}, RANDBETWEEN(1,5))</f>
        <v>Bangalore</v>
      </c>
      <c r="E253" s="5" t="str" cm="1">
        <f t="array" aca="1" ref="E253" ca="1">INDEX({"Electronics","Groceries","Furniture","Clothing","Stationery"}, RANDBETWEEN(1,5))</f>
        <v>Groceries</v>
      </c>
      <c r="F253" s="5" t="str">
        <f t="shared" ca="1" si="16"/>
        <v>Table</v>
      </c>
      <c r="G253" s="8">
        <f t="shared" ca="1" si="17"/>
        <v>32</v>
      </c>
      <c r="H253" s="10">
        <f t="shared" ca="1" si="18"/>
        <v>250</v>
      </c>
      <c r="I253" s="10">
        <f t="shared" ca="1" si="19"/>
        <v>8000</v>
      </c>
      <c r="J253" s="10">
        <f ca="1">Table2[[#This Row],[Unit Price]] * RANDBETWEEN(70,90)/100</f>
        <v>192.5</v>
      </c>
      <c r="K253" s="12">
        <f ca="1">(Table2[[#This Row],[Unit Price]] - Table2[[#This Row],[Cost per Unit]]) * Table2[[#This Row],[Units Sold]]</f>
        <v>1840</v>
      </c>
    </row>
    <row r="254" spans="1:11" ht="15.6" x14ac:dyDescent="0.3">
      <c r="A254" s="5" cm="1">
        <f t="array" ref="A254">1000 + ROW(254:254)</f>
        <v>1254</v>
      </c>
      <c r="B254" s="6">
        <f t="shared" ca="1" si="15"/>
        <v>45336</v>
      </c>
      <c r="C254" s="5" t="str" cm="1">
        <f t="array" aca="1" ref="C254" ca="1">INDEX({"S001","S002","S003","S004","S005"}, RANDBETWEEN(1,5))</f>
        <v>S004</v>
      </c>
      <c r="D254" s="5" t="str" cm="1">
        <f t="array" aca="1" ref="D254" ca="1">INDEX({"Mumbai","Delhi","Bangalore","Ahmedabad","Chennai"}, RANDBETWEEN(1,5))</f>
        <v>Mumbai</v>
      </c>
      <c r="E254" s="5" t="str" cm="1">
        <f t="array" aca="1" ref="E254" ca="1">INDEX({"Electronics","Groceries","Furniture","Clothing","Stationery"}, RANDBETWEEN(1,5))</f>
        <v>Stationery</v>
      </c>
      <c r="F254" s="5" t="str">
        <f t="shared" ca="1" si="16"/>
        <v>Laptop</v>
      </c>
      <c r="G254" s="8">
        <f t="shared" ca="1" si="17"/>
        <v>92</v>
      </c>
      <c r="H254" s="10">
        <f t="shared" ca="1" si="18"/>
        <v>50</v>
      </c>
      <c r="I254" s="10">
        <f t="shared" ca="1" si="19"/>
        <v>4600</v>
      </c>
      <c r="J254" s="10">
        <f ca="1">Table2[[#This Row],[Unit Price]] * RANDBETWEEN(70,90)/100</f>
        <v>35</v>
      </c>
      <c r="K254" s="12">
        <f ca="1">(Table2[[#This Row],[Unit Price]] - Table2[[#This Row],[Cost per Unit]]) * Table2[[#This Row],[Units Sold]]</f>
        <v>1380</v>
      </c>
    </row>
    <row r="255" spans="1:11" ht="15.6" x14ac:dyDescent="0.3">
      <c r="A255" s="5" cm="1">
        <f t="array" ref="A255">1000 + ROW(255:255)</f>
        <v>1255</v>
      </c>
      <c r="B255" s="6">
        <f t="shared" ca="1" si="15"/>
        <v>45305</v>
      </c>
      <c r="C255" s="5" t="str" cm="1">
        <f t="array" aca="1" ref="C255" ca="1">INDEX({"S001","S002","S003","S004","S005"}, RANDBETWEEN(1,5))</f>
        <v>S004</v>
      </c>
      <c r="D255" s="5" t="str" cm="1">
        <f t="array" aca="1" ref="D255" ca="1">INDEX({"Mumbai","Delhi","Bangalore","Ahmedabad","Chennai"}, RANDBETWEEN(1,5))</f>
        <v>Delhi</v>
      </c>
      <c r="E255" s="5" t="str" cm="1">
        <f t="array" aca="1" ref="E255" ca="1">INDEX({"Electronics","Groceries","Furniture","Clothing","Stationery"}, RANDBETWEEN(1,5))</f>
        <v>Stationery</v>
      </c>
      <c r="F255" s="5" t="str">
        <f t="shared" ca="1" si="16"/>
        <v>Office Chair</v>
      </c>
      <c r="G255" s="8">
        <f t="shared" ca="1" si="17"/>
        <v>41</v>
      </c>
      <c r="H255" s="10">
        <f t="shared" ca="1" si="18"/>
        <v>250</v>
      </c>
      <c r="I255" s="10">
        <f t="shared" ca="1" si="19"/>
        <v>10250</v>
      </c>
      <c r="J255" s="10">
        <f ca="1">Table2[[#This Row],[Unit Price]] * RANDBETWEEN(70,90)/100</f>
        <v>207.5</v>
      </c>
      <c r="K255" s="12">
        <f ca="1">(Table2[[#This Row],[Unit Price]] - Table2[[#This Row],[Cost per Unit]]) * Table2[[#This Row],[Units Sold]]</f>
        <v>1742.5</v>
      </c>
    </row>
    <row r="256" spans="1:11" ht="15.6" x14ac:dyDescent="0.3">
      <c r="A256" s="5" cm="1">
        <f t="array" ref="A256">1000 + ROW(256:256)</f>
        <v>1256</v>
      </c>
      <c r="B256" s="6">
        <f t="shared" ca="1" si="15"/>
        <v>45303</v>
      </c>
      <c r="C256" s="5" t="str" cm="1">
        <f t="array" aca="1" ref="C256" ca="1">INDEX({"S001","S002","S003","S004","S005"}, RANDBETWEEN(1,5))</f>
        <v>S001</v>
      </c>
      <c r="D256" s="5" t="str" cm="1">
        <f t="array" aca="1" ref="D256" ca="1">INDEX({"Mumbai","Delhi","Bangalore","Ahmedabad","Chennai"}, RANDBETWEEN(1,5))</f>
        <v>Chennai</v>
      </c>
      <c r="E256" s="5" t="str" cm="1">
        <f t="array" aca="1" ref="E256" ca="1">INDEX({"Electronics","Groceries","Furniture","Clothing","Stationery"}, RANDBETWEEN(1,5))</f>
        <v>Furniture</v>
      </c>
      <c r="F256" s="5" t="str">
        <f t="shared" ca="1" si="16"/>
        <v>Smartphone</v>
      </c>
      <c r="G256" s="8">
        <f t="shared" ca="1" si="17"/>
        <v>81</v>
      </c>
      <c r="H256" s="10">
        <f t="shared" ca="1" si="18"/>
        <v>15000</v>
      </c>
      <c r="I256" s="10">
        <f t="shared" ca="1" si="19"/>
        <v>1215000</v>
      </c>
      <c r="J256" s="10">
        <f ca="1">Table2[[#This Row],[Unit Price]] * RANDBETWEEN(70,90)/100</f>
        <v>11850</v>
      </c>
      <c r="K256" s="12">
        <f ca="1">(Table2[[#This Row],[Unit Price]] - Table2[[#This Row],[Cost per Unit]]) * Table2[[#This Row],[Units Sold]]</f>
        <v>255150</v>
      </c>
    </row>
    <row r="257" spans="1:11" ht="15.6" x14ac:dyDescent="0.3">
      <c r="A257" s="5" cm="1">
        <f t="array" ref="A257">1000 + ROW(257:257)</f>
        <v>1257</v>
      </c>
      <c r="B257" s="6">
        <f t="shared" ca="1" si="15"/>
        <v>45331</v>
      </c>
      <c r="C257" s="5" t="str" cm="1">
        <f t="array" aca="1" ref="C257" ca="1">INDEX({"S001","S002","S003","S004","S005"}, RANDBETWEEN(1,5))</f>
        <v>S002</v>
      </c>
      <c r="D257" s="5" t="str" cm="1">
        <f t="array" aca="1" ref="D257" ca="1">INDEX({"Mumbai","Delhi","Bangalore","Ahmedabad","Chennai"}, RANDBETWEEN(1,5))</f>
        <v>Bangalore</v>
      </c>
      <c r="E257" s="5" t="str" cm="1">
        <f t="array" aca="1" ref="E257" ca="1">INDEX({"Electronics","Groceries","Furniture","Clothing","Stationery"}, RANDBETWEEN(1,5))</f>
        <v>Clothing</v>
      </c>
      <c r="F257" s="5" t="str">
        <f t="shared" ca="1" si="16"/>
        <v>Office Chair</v>
      </c>
      <c r="G257" s="8">
        <f t="shared" ca="1" si="17"/>
        <v>99</v>
      </c>
      <c r="H257" s="10">
        <f t="shared" ca="1" si="18"/>
        <v>250</v>
      </c>
      <c r="I257" s="10">
        <f t="shared" ca="1" si="19"/>
        <v>24750</v>
      </c>
      <c r="J257" s="10">
        <f ca="1">Table2[[#This Row],[Unit Price]] * RANDBETWEEN(70,90)/100</f>
        <v>197.5</v>
      </c>
      <c r="K257" s="12">
        <f ca="1">(Table2[[#This Row],[Unit Price]] - Table2[[#This Row],[Cost per Unit]]) * Table2[[#This Row],[Units Sold]]</f>
        <v>5197.5</v>
      </c>
    </row>
    <row r="258" spans="1:11" ht="15.6" x14ac:dyDescent="0.3">
      <c r="A258" s="5" cm="1">
        <f t="array" ref="A258">1000 + ROW(258:258)</f>
        <v>1258</v>
      </c>
      <c r="B258" s="6">
        <f t="shared" ref="B258:B321" ca="1" si="20">RANDBETWEEN(DATE(2024,1,1), DATE(2024,3,31))</f>
        <v>45304</v>
      </c>
      <c r="C258" s="5" t="str" cm="1">
        <f t="array" aca="1" ref="C258" ca="1">INDEX({"S001","S002","S003","S004","S005"}, RANDBETWEEN(1,5))</f>
        <v>S003</v>
      </c>
      <c r="D258" s="5" t="str" cm="1">
        <f t="array" aca="1" ref="D258" ca="1">INDEX({"Mumbai","Delhi","Bangalore","Ahmedabad","Chennai"}, RANDBETWEEN(1,5))</f>
        <v>Chennai</v>
      </c>
      <c r="E258" s="5" t="str" cm="1">
        <f t="array" aca="1" ref="E258" ca="1">INDEX({"Electronics","Groceries","Furniture","Clothing","Stationery"}, RANDBETWEEN(1,5))</f>
        <v>Clothing</v>
      </c>
      <c r="F258" s="5" t="str">
        <f t="shared" ref="F258:F321" ca="1" si="21">CHOOSE(RANDBETWEEN(1,10),
 "Smartphone","Laptop","Rice 5kg","Cooking Oil 1L",
 "Office Chair","Table","T-shirt","Notebook",
 "Desk Lamp","Shampoo")</f>
        <v>Shampoo</v>
      </c>
      <c r="G258" s="8">
        <f t="shared" ref="G258:G321" ca="1" si="22">RANDBETWEEN(1,100)</f>
        <v>66</v>
      </c>
      <c r="H258" s="10">
        <f t="shared" ref="H258:H321" ca="1" si="23">CHOOSE(RANDBETWEEN(1,10), 15000, 30000, 250, 500, 1200, 700, 300, 50, 900, 150)</f>
        <v>150</v>
      </c>
      <c r="I258" s="10">
        <f t="shared" ref="I258:I321" ca="1" si="24">G258 * H258</f>
        <v>9900</v>
      </c>
      <c r="J258" s="10">
        <f ca="1">Table2[[#This Row],[Unit Price]] * RANDBETWEEN(70,90)/100</f>
        <v>120</v>
      </c>
      <c r="K258" s="12">
        <f ca="1">(Table2[[#This Row],[Unit Price]] - Table2[[#This Row],[Cost per Unit]]) * Table2[[#This Row],[Units Sold]]</f>
        <v>1980</v>
      </c>
    </row>
    <row r="259" spans="1:11" ht="15.6" x14ac:dyDescent="0.3">
      <c r="A259" s="5" cm="1">
        <f t="array" ref="A259">1000 + ROW(259:259)</f>
        <v>1259</v>
      </c>
      <c r="B259" s="6">
        <f t="shared" ca="1" si="20"/>
        <v>45335</v>
      </c>
      <c r="C259" s="5" t="str" cm="1">
        <f t="array" aca="1" ref="C259" ca="1">INDEX({"S001","S002","S003","S004","S005"}, RANDBETWEEN(1,5))</f>
        <v>S004</v>
      </c>
      <c r="D259" s="5" t="str" cm="1">
        <f t="array" aca="1" ref="D259" ca="1">INDEX({"Mumbai","Delhi","Bangalore","Ahmedabad","Chennai"}, RANDBETWEEN(1,5))</f>
        <v>Ahmedabad</v>
      </c>
      <c r="E259" s="5" t="str" cm="1">
        <f t="array" aca="1" ref="E259" ca="1">INDEX({"Electronics","Groceries","Furniture","Clothing","Stationery"}, RANDBETWEEN(1,5))</f>
        <v>Clothing</v>
      </c>
      <c r="F259" s="5" t="str">
        <f t="shared" ca="1" si="21"/>
        <v>Office Chair</v>
      </c>
      <c r="G259" s="8">
        <f t="shared" ca="1" si="22"/>
        <v>38</v>
      </c>
      <c r="H259" s="10">
        <f t="shared" ca="1" si="23"/>
        <v>50</v>
      </c>
      <c r="I259" s="10">
        <f t="shared" ca="1" si="24"/>
        <v>1900</v>
      </c>
      <c r="J259" s="10">
        <f ca="1">Table2[[#This Row],[Unit Price]] * RANDBETWEEN(70,90)/100</f>
        <v>40</v>
      </c>
      <c r="K259" s="12">
        <f ca="1">(Table2[[#This Row],[Unit Price]] - Table2[[#This Row],[Cost per Unit]]) * Table2[[#This Row],[Units Sold]]</f>
        <v>380</v>
      </c>
    </row>
    <row r="260" spans="1:11" ht="15.6" x14ac:dyDescent="0.3">
      <c r="A260" s="5" cm="1">
        <f t="array" ref="A260">1000 + ROW(260:260)</f>
        <v>1260</v>
      </c>
      <c r="B260" s="6">
        <f t="shared" ca="1" si="20"/>
        <v>45301</v>
      </c>
      <c r="C260" s="5" t="str" cm="1">
        <f t="array" aca="1" ref="C260" ca="1">INDEX({"S001","S002","S003","S004","S005"}, RANDBETWEEN(1,5))</f>
        <v>S005</v>
      </c>
      <c r="D260" s="5" t="str" cm="1">
        <f t="array" aca="1" ref="D260" ca="1">INDEX({"Mumbai","Delhi","Bangalore","Ahmedabad","Chennai"}, RANDBETWEEN(1,5))</f>
        <v>Chennai</v>
      </c>
      <c r="E260" s="5" t="str" cm="1">
        <f t="array" aca="1" ref="E260" ca="1">INDEX({"Electronics","Groceries","Furniture","Clothing","Stationery"}, RANDBETWEEN(1,5))</f>
        <v>Clothing</v>
      </c>
      <c r="F260" s="5" t="str">
        <f t="shared" ca="1" si="21"/>
        <v>Cooking Oil 1L</v>
      </c>
      <c r="G260" s="8">
        <f t="shared" ca="1" si="22"/>
        <v>25</v>
      </c>
      <c r="H260" s="10">
        <f t="shared" ca="1" si="23"/>
        <v>250</v>
      </c>
      <c r="I260" s="10">
        <f t="shared" ca="1" si="24"/>
        <v>6250</v>
      </c>
      <c r="J260" s="10">
        <f ca="1">Table2[[#This Row],[Unit Price]] * RANDBETWEEN(70,90)/100</f>
        <v>190</v>
      </c>
      <c r="K260" s="12">
        <f ca="1">(Table2[[#This Row],[Unit Price]] - Table2[[#This Row],[Cost per Unit]]) * Table2[[#This Row],[Units Sold]]</f>
        <v>1500</v>
      </c>
    </row>
    <row r="261" spans="1:11" ht="15.6" x14ac:dyDescent="0.3">
      <c r="A261" s="5" cm="1">
        <f t="array" ref="A261">1000 + ROW(261:261)</f>
        <v>1261</v>
      </c>
      <c r="B261" s="6">
        <f t="shared" ca="1" si="20"/>
        <v>45362</v>
      </c>
      <c r="C261" s="5" t="str" cm="1">
        <f t="array" aca="1" ref="C261" ca="1">INDEX({"S001","S002","S003","S004","S005"}, RANDBETWEEN(1,5))</f>
        <v>S005</v>
      </c>
      <c r="D261" s="5" t="str" cm="1">
        <f t="array" aca="1" ref="D261" ca="1">INDEX({"Mumbai","Delhi","Bangalore","Ahmedabad","Chennai"}, RANDBETWEEN(1,5))</f>
        <v>Chennai</v>
      </c>
      <c r="E261" s="5" t="str" cm="1">
        <f t="array" aca="1" ref="E261" ca="1">INDEX({"Electronics","Groceries","Furniture","Clothing","Stationery"}, RANDBETWEEN(1,5))</f>
        <v>Groceries</v>
      </c>
      <c r="F261" s="5" t="str">
        <f t="shared" ca="1" si="21"/>
        <v>T-shirt</v>
      </c>
      <c r="G261" s="8">
        <f t="shared" ca="1" si="22"/>
        <v>71</v>
      </c>
      <c r="H261" s="10">
        <f t="shared" ca="1" si="23"/>
        <v>1200</v>
      </c>
      <c r="I261" s="10">
        <f t="shared" ca="1" si="24"/>
        <v>85200</v>
      </c>
      <c r="J261" s="10">
        <f ca="1">Table2[[#This Row],[Unit Price]] * RANDBETWEEN(70,90)/100</f>
        <v>852</v>
      </c>
      <c r="K261" s="12">
        <f ca="1">(Table2[[#This Row],[Unit Price]] - Table2[[#This Row],[Cost per Unit]]) * Table2[[#This Row],[Units Sold]]</f>
        <v>24708</v>
      </c>
    </row>
    <row r="262" spans="1:11" ht="15.6" x14ac:dyDescent="0.3">
      <c r="A262" s="5" cm="1">
        <f t="array" ref="A262">1000 + ROW(262:262)</f>
        <v>1262</v>
      </c>
      <c r="B262" s="6">
        <f t="shared" ca="1" si="20"/>
        <v>45320</v>
      </c>
      <c r="C262" s="5" t="str" cm="1">
        <f t="array" aca="1" ref="C262" ca="1">INDEX({"S001","S002","S003","S004","S005"}, RANDBETWEEN(1,5))</f>
        <v>S002</v>
      </c>
      <c r="D262" s="5" t="str" cm="1">
        <f t="array" aca="1" ref="D262" ca="1">INDEX({"Mumbai","Delhi","Bangalore","Ahmedabad","Chennai"}, RANDBETWEEN(1,5))</f>
        <v>Ahmedabad</v>
      </c>
      <c r="E262" s="5" t="str" cm="1">
        <f t="array" aca="1" ref="E262" ca="1">INDEX({"Electronics","Groceries","Furniture","Clothing","Stationery"}, RANDBETWEEN(1,5))</f>
        <v>Electronics</v>
      </c>
      <c r="F262" s="5" t="str">
        <f t="shared" ca="1" si="21"/>
        <v>Cooking Oil 1L</v>
      </c>
      <c r="G262" s="8">
        <f t="shared" ca="1" si="22"/>
        <v>97</v>
      </c>
      <c r="H262" s="10">
        <f t="shared" ca="1" si="23"/>
        <v>150</v>
      </c>
      <c r="I262" s="10">
        <f t="shared" ca="1" si="24"/>
        <v>14550</v>
      </c>
      <c r="J262" s="10">
        <f ca="1">Table2[[#This Row],[Unit Price]] * RANDBETWEEN(70,90)/100</f>
        <v>126</v>
      </c>
      <c r="K262" s="12">
        <f ca="1">(Table2[[#This Row],[Unit Price]] - Table2[[#This Row],[Cost per Unit]]) * Table2[[#This Row],[Units Sold]]</f>
        <v>2328</v>
      </c>
    </row>
    <row r="263" spans="1:11" ht="15.6" x14ac:dyDescent="0.3">
      <c r="A263" s="5" cm="1">
        <f t="array" ref="A263">1000 + ROW(263:263)</f>
        <v>1263</v>
      </c>
      <c r="B263" s="6">
        <f t="shared" ca="1" si="20"/>
        <v>45315</v>
      </c>
      <c r="C263" s="5" t="str" cm="1">
        <f t="array" aca="1" ref="C263" ca="1">INDEX({"S001","S002","S003","S004","S005"}, RANDBETWEEN(1,5))</f>
        <v>S004</v>
      </c>
      <c r="D263" s="5" t="str" cm="1">
        <f t="array" aca="1" ref="D263" ca="1">INDEX({"Mumbai","Delhi","Bangalore","Ahmedabad","Chennai"}, RANDBETWEEN(1,5))</f>
        <v>Ahmedabad</v>
      </c>
      <c r="E263" s="5" t="str" cm="1">
        <f t="array" aca="1" ref="E263" ca="1">INDEX({"Electronics","Groceries","Furniture","Clothing","Stationery"}, RANDBETWEEN(1,5))</f>
        <v>Groceries</v>
      </c>
      <c r="F263" s="5" t="str">
        <f t="shared" ca="1" si="21"/>
        <v>Office Chair</v>
      </c>
      <c r="G263" s="8">
        <f t="shared" ca="1" si="22"/>
        <v>77</v>
      </c>
      <c r="H263" s="10">
        <f t="shared" ca="1" si="23"/>
        <v>15000</v>
      </c>
      <c r="I263" s="10">
        <f t="shared" ca="1" si="24"/>
        <v>1155000</v>
      </c>
      <c r="J263" s="10">
        <f ca="1">Table2[[#This Row],[Unit Price]] * RANDBETWEEN(70,90)/100</f>
        <v>12600</v>
      </c>
      <c r="K263" s="12">
        <f ca="1">(Table2[[#This Row],[Unit Price]] - Table2[[#This Row],[Cost per Unit]]) * Table2[[#This Row],[Units Sold]]</f>
        <v>184800</v>
      </c>
    </row>
    <row r="264" spans="1:11" ht="15.6" x14ac:dyDescent="0.3">
      <c r="A264" s="5" cm="1">
        <f t="array" ref="A264">1000 + ROW(264:264)</f>
        <v>1264</v>
      </c>
      <c r="B264" s="6">
        <f t="shared" ca="1" si="20"/>
        <v>45354</v>
      </c>
      <c r="C264" s="5" t="str" cm="1">
        <f t="array" aca="1" ref="C264" ca="1">INDEX({"S001","S002","S003","S004","S005"}, RANDBETWEEN(1,5))</f>
        <v>S003</v>
      </c>
      <c r="D264" s="5" t="str" cm="1">
        <f t="array" aca="1" ref="D264" ca="1">INDEX({"Mumbai","Delhi","Bangalore","Ahmedabad","Chennai"}, RANDBETWEEN(1,5))</f>
        <v>Chennai</v>
      </c>
      <c r="E264" s="5" t="str" cm="1">
        <f t="array" aca="1" ref="E264" ca="1">INDEX({"Electronics","Groceries","Furniture","Clothing","Stationery"}, RANDBETWEEN(1,5))</f>
        <v>Stationery</v>
      </c>
      <c r="F264" s="5" t="str">
        <f t="shared" ca="1" si="21"/>
        <v>T-shirt</v>
      </c>
      <c r="G264" s="8">
        <f t="shared" ca="1" si="22"/>
        <v>91</v>
      </c>
      <c r="H264" s="10">
        <f t="shared" ca="1" si="23"/>
        <v>1200</v>
      </c>
      <c r="I264" s="10">
        <f t="shared" ca="1" si="24"/>
        <v>109200</v>
      </c>
      <c r="J264" s="10">
        <f ca="1">Table2[[#This Row],[Unit Price]] * RANDBETWEEN(70,90)/100</f>
        <v>972</v>
      </c>
      <c r="K264" s="12">
        <f ca="1">(Table2[[#This Row],[Unit Price]] - Table2[[#This Row],[Cost per Unit]]) * Table2[[#This Row],[Units Sold]]</f>
        <v>20748</v>
      </c>
    </row>
    <row r="265" spans="1:11" ht="15.6" x14ac:dyDescent="0.3">
      <c r="A265" s="5" cm="1">
        <f t="array" ref="A265">1000 + ROW(265:265)</f>
        <v>1265</v>
      </c>
      <c r="B265" s="6">
        <f t="shared" ca="1" si="20"/>
        <v>45372</v>
      </c>
      <c r="C265" s="5" t="str" cm="1">
        <f t="array" aca="1" ref="C265" ca="1">INDEX({"S001","S002","S003","S004","S005"}, RANDBETWEEN(1,5))</f>
        <v>S003</v>
      </c>
      <c r="D265" s="5" t="str" cm="1">
        <f t="array" aca="1" ref="D265" ca="1">INDEX({"Mumbai","Delhi","Bangalore","Ahmedabad","Chennai"}, RANDBETWEEN(1,5))</f>
        <v>Mumbai</v>
      </c>
      <c r="E265" s="5" t="str" cm="1">
        <f t="array" aca="1" ref="E265" ca="1">INDEX({"Electronics","Groceries","Furniture","Clothing","Stationery"}, RANDBETWEEN(1,5))</f>
        <v>Groceries</v>
      </c>
      <c r="F265" s="5" t="str">
        <f t="shared" ca="1" si="21"/>
        <v>T-shirt</v>
      </c>
      <c r="G265" s="8">
        <f t="shared" ca="1" si="22"/>
        <v>77</v>
      </c>
      <c r="H265" s="10">
        <f t="shared" ca="1" si="23"/>
        <v>30000</v>
      </c>
      <c r="I265" s="10">
        <f t="shared" ca="1" si="24"/>
        <v>2310000</v>
      </c>
      <c r="J265" s="10">
        <f ca="1">Table2[[#This Row],[Unit Price]] * RANDBETWEEN(70,90)/100</f>
        <v>25200</v>
      </c>
      <c r="K265" s="12">
        <f ca="1">(Table2[[#This Row],[Unit Price]] - Table2[[#This Row],[Cost per Unit]]) * Table2[[#This Row],[Units Sold]]</f>
        <v>369600</v>
      </c>
    </row>
    <row r="266" spans="1:11" ht="15.6" x14ac:dyDescent="0.3">
      <c r="A266" s="5" cm="1">
        <f t="array" ref="A266">1000 + ROW(266:266)</f>
        <v>1266</v>
      </c>
      <c r="B266" s="6">
        <f t="shared" ca="1" si="20"/>
        <v>45360</v>
      </c>
      <c r="C266" s="5" t="str" cm="1">
        <f t="array" aca="1" ref="C266" ca="1">INDEX({"S001","S002","S003","S004","S005"}, RANDBETWEEN(1,5))</f>
        <v>S001</v>
      </c>
      <c r="D266" s="5" t="str" cm="1">
        <f t="array" aca="1" ref="D266" ca="1">INDEX({"Mumbai","Delhi","Bangalore","Ahmedabad","Chennai"}, RANDBETWEEN(1,5))</f>
        <v>Chennai</v>
      </c>
      <c r="E266" s="5" t="str" cm="1">
        <f t="array" aca="1" ref="E266" ca="1">INDEX({"Electronics","Groceries","Furniture","Clothing","Stationery"}, RANDBETWEEN(1,5))</f>
        <v>Groceries</v>
      </c>
      <c r="F266" s="5" t="str">
        <f t="shared" ca="1" si="21"/>
        <v>Smartphone</v>
      </c>
      <c r="G266" s="8">
        <f t="shared" ca="1" si="22"/>
        <v>41</v>
      </c>
      <c r="H266" s="10">
        <f t="shared" ca="1" si="23"/>
        <v>1200</v>
      </c>
      <c r="I266" s="10">
        <f t="shared" ca="1" si="24"/>
        <v>49200</v>
      </c>
      <c r="J266" s="10">
        <f ca="1">Table2[[#This Row],[Unit Price]] * RANDBETWEEN(70,90)/100</f>
        <v>972</v>
      </c>
      <c r="K266" s="12">
        <f ca="1">(Table2[[#This Row],[Unit Price]] - Table2[[#This Row],[Cost per Unit]]) * Table2[[#This Row],[Units Sold]]</f>
        <v>9348</v>
      </c>
    </row>
    <row r="267" spans="1:11" ht="15.6" x14ac:dyDescent="0.3">
      <c r="A267" s="5" cm="1">
        <f t="array" ref="A267">1000 + ROW(267:267)</f>
        <v>1267</v>
      </c>
      <c r="B267" s="6">
        <f t="shared" ca="1" si="20"/>
        <v>45329</v>
      </c>
      <c r="C267" s="5" t="str" cm="1">
        <f t="array" aca="1" ref="C267" ca="1">INDEX({"S001","S002","S003","S004","S005"}, RANDBETWEEN(1,5))</f>
        <v>S004</v>
      </c>
      <c r="D267" s="5" t="str" cm="1">
        <f t="array" aca="1" ref="D267" ca="1">INDEX({"Mumbai","Delhi","Bangalore","Ahmedabad","Chennai"}, RANDBETWEEN(1,5))</f>
        <v>Mumbai</v>
      </c>
      <c r="E267" s="5" t="str" cm="1">
        <f t="array" aca="1" ref="E267" ca="1">INDEX({"Electronics","Groceries","Furniture","Clothing","Stationery"}, RANDBETWEEN(1,5))</f>
        <v>Furniture</v>
      </c>
      <c r="F267" s="5" t="str">
        <f t="shared" ca="1" si="21"/>
        <v>Desk Lamp</v>
      </c>
      <c r="G267" s="8">
        <f t="shared" ca="1" si="22"/>
        <v>57</v>
      </c>
      <c r="H267" s="10">
        <f t="shared" ca="1" si="23"/>
        <v>300</v>
      </c>
      <c r="I267" s="10">
        <f t="shared" ca="1" si="24"/>
        <v>17100</v>
      </c>
      <c r="J267" s="10">
        <f ca="1">Table2[[#This Row],[Unit Price]] * RANDBETWEEN(70,90)/100</f>
        <v>213</v>
      </c>
      <c r="K267" s="12">
        <f ca="1">(Table2[[#This Row],[Unit Price]] - Table2[[#This Row],[Cost per Unit]]) * Table2[[#This Row],[Units Sold]]</f>
        <v>4959</v>
      </c>
    </row>
    <row r="268" spans="1:11" ht="15.6" x14ac:dyDescent="0.3">
      <c r="A268" s="5" cm="1">
        <f t="array" ref="A268">1000 + ROW(268:268)</f>
        <v>1268</v>
      </c>
      <c r="B268" s="6">
        <f t="shared" ca="1" si="20"/>
        <v>45338</v>
      </c>
      <c r="C268" s="5" t="str" cm="1">
        <f t="array" aca="1" ref="C268" ca="1">INDEX({"S001","S002","S003","S004","S005"}, RANDBETWEEN(1,5))</f>
        <v>S001</v>
      </c>
      <c r="D268" s="5" t="str" cm="1">
        <f t="array" aca="1" ref="D268" ca="1">INDEX({"Mumbai","Delhi","Bangalore","Ahmedabad","Chennai"}, RANDBETWEEN(1,5))</f>
        <v>Delhi</v>
      </c>
      <c r="E268" s="5" t="str" cm="1">
        <f t="array" aca="1" ref="E268" ca="1">INDEX({"Electronics","Groceries","Furniture","Clothing","Stationery"}, RANDBETWEEN(1,5))</f>
        <v>Furniture</v>
      </c>
      <c r="F268" s="5" t="str">
        <f t="shared" ca="1" si="21"/>
        <v>Cooking Oil 1L</v>
      </c>
      <c r="G268" s="8">
        <f t="shared" ca="1" si="22"/>
        <v>3</v>
      </c>
      <c r="H268" s="10">
        <f t="shared" ca="1" si="23"/>
        <v>50</v>
      </c>
      <c r="I268" s="10">
        <f t="shared" ca="1" si="24"/>
        <v>150</v>
      </c>
      <c r="J268" s="10">
        <f ca="1">Table2[[#This Row],[Unit Price]] * RANDBETWEEN(70,90)/100</f>
        <v>43.5</v>
      </c>
      <c r="K268" s="12">
        <f ca="1">(Table2[[#This Row],[Unit Price]] - Table2[[#This Row],[Cost per Unit]]) * Table2[[#This Row],[Units Sold]]</f>
        <v>19.5</v>
      </c>
    </row>
    <row r="269" spans="1:11" ht="15.6" x14ac:dyDescent="0.3">
      <c r="A269" s="5" cm="1">
        <f t="array" ref="A269">1000 + ROW(269:269)</f>
        <v>1269</v>
      </c>
      <c r="B269" s="6">
        <f t="shared" ca="1" si="20"/>
        <v>45351</v>
      </c>
      <c r="C269" s="5" t="str" cm="1">
        <f t="array" aca="1" ref="C269" ca="1">INDEX({"S001","S002","S003","S004","S005"}, RANDBETWEEN(1,5))</f>
        <v>S002</v>
      </c>
      <c r="D269" s="5" t="str" cm="1">
        <f t="array" aca="1" ref="D269" ca="1">INDEX({"Mumbai","Delhi","Bangalore","Ahmedabad","Chennai"}, RANDBETWEEN(1,5))</f>
        <v>Bangalore</v>
      </c>
      <c r="E269" s="5" t="str" cm="1">
        <f t="array" aca="1" ref="E269" ca="1">INDEX({"Electronics","Groceries","Furniture","Clothing","Stationery"}, RANDBETWEEN(1,5))</f>
        <v>Furniture</v>
      </c>
      <c r="F269" s="5" t="str">
        <f t="shared" ca="1" si="21"/>
        <v>Laptop</v>
      </c>
      <c r="G269" s="8">
        <f t="shared" ca="1" si="22"/>
        <v>33</v>
      </c>
      <c r="H269" s="10">
        <f t="shared" ca="1" si="23"/>
        <v>300</v>
      </c>
      <c r="I269" s="10">
        <f t="shared" ca="1" si="24"/>
        <v>9900</v>
      </c>
      <c r="J269" s="10">
        <f ca="1">Table2[[#This Row],[Unit Price]] * RANDBETWEEN(70,90)/100</f>
        <v>252</v>
      </c>
      <c r="K269" s="12">
        <f ca="1">(Table2[[#This Row],[Unit Price]] - Table2[[#This Row],[Cost per Unit]]) * Table2[[#This Row],[Units Sold]]</f>
        <v>1584</v>
      </c>
    </row>
    <row r="270" spans="1:11" ht="15.6" x14ac:dyDescent="0.3">
      <c r="A270" s="5" cm="1">
        <f t="array" ref="A270">1000 + ROW(270:270)</f>
        <v>1270</v>
      </c>
      <c r="B270" s="6">
        <f t="shared" ca="1" si="20"/>
        <v>45341</v>
      </c>
      <c r="C270" s="5" t="str" cm="1">
        <f t="array" aca="1" ref="C270" ca="1">INDEX({"S001","S002","S003","S004","S005"}, RANDBETWEEN(1,5))</f>
        <v>S004</v>
      </c>
      <c r="D270" s="5" t="str" cm="1">
        <f t="array" aca="1" ref="D270" ca="1">INDEX({"Mumbai","Delhi","Bangalore","Ahmedabad","Chennai"}, RANDBETWEEN(1,5))</f>
        <v>Chennai</v>
      </c>
      <c r="E270" s="5" t="str" cm="1">
        <f t="array" aca="1" ref="E270" ca="1">INDEX({"Electronics","Groceries","Furniture","Clothing","Stationery"}, RANDBETWEEN(1,5))</f>
        <v>Groceries</v>
      </c>
      <c r="F270" s="5" t="str">
        <f t="shared" ca="1" si="21"/>
        <v>Laptop</v>
      </c>
      <c r="G270" s="8">
        <f t="shared" ca="1" si="22"/>
        <v>2</v>
      </c>
      <c r="H270" s="10">
        <f t="shared" ca="1" si="23"/>
        <v>700</v>
      </c>
      <c r="I270" s="10">
        <f t="shared" ca="1" si="24"/>
        <v>1400</v>
      </c>
      <c r="J270" s="10">
        <f ca="1">Table2[[#This Row],[Unit Price]] * RANDBETWEEN(70,90)/100</f>
        <v>560</v>
      </c>
      <c r="K270" s="12">
        <f ca="1">(Table2[[#This Row],[Unit Price]] - Table2[[#This Row],[Cost per Unit]]) * Table2[[#This Row],[Units Sold]]</f>
        <v>280</v>
      </c>
    </row>
    <row r="271" spans="1:11" ht="15.6" x14ac:dyDescent="0.3">
      <c r="A271" s="5" cm="1">
        <f t="array" ref="A271">1000 + ROW(271:271)</f>
        <v>1271</v>
      </c>
      <c r="B271" s="6">
        <f t="shared" ca="1" si="20"/>
        <v>45323</v>
      </c>
      <c r="C271" s="5" t="str" cm="1">
        <f t="array" aca="1" ref="C271" ca="1">INDEX({"S001","S002","S003","S004","S005"}, RANDBETWEEN(1,5))</f>
        <v>S005</v>
      </c>
      <c r="D271" s="5" t="str" cm="1">
        <f t="array" aca="1" ref="D271" ca="1">INDEX({"Mumbai","Delhi","Bangalore","Ahmedabad","Chennai"}, RANDBETWEEN(1,5))</f>
        <v>Delhi</v>
      </c>
      <c r="E271" s="5" t="str" cm="1">
        <f t="array" aca="1" ref="E271" ca="1">INDEX({"Electronics","Groceries","Furniture","Clothing","Stationery"}, RANDBETWEEN(1,5))</f>
        <v>Furniture</v>
      </c>
      <c r="F271" s="5" t="str">
        <f t="shared" ca="1" si="21"/>
        <v>Notebook</v>
      </c>
      <c r="G271" s="8">
        <f t="shared" ca="1" si="22"/>
        <v>4</v>
      </c>
      <c r="H271" s="10">
        <f t="shared" ca="1" si="23"/>
        <v>300</v>
      </c>
      <c r="I271" s="10">
        <f t="shared" ca="1" si="24"/>
        <v>1200</v>
      </c>
      <c r="J271" s="10">
        <f ca="1">Table2[[#This Row],[Unit Price]] * RANDBETWEEN(70,90)/100</f>
        <v>267</v>
      </c>
      <c r="K271" s="12">
        <f ca="1">(Table2[[#This Row],[Unit Price]] - Table2[[#This Row],[Cost per Unit]]) * Table2[[#This Row],[Units Sold]]</f>
        <v>132</v>
      </c>
    </row>
    <row r="272" spans="1:11" ht="15.6" x14ac:dyDescent="0.3">
      <c r="A272" s="5" cm="1">
        <f t="array" ref="A272">1000 + ROW(272:272)</f>
        <v>1272</v>
      </c>
      <c r="B272" s="6">
        <f t="shared" ca="1" si="20"/>
        <v>45382</v>
      </c>
      <c r="C272" s="5" t="str" cm="1">
        <f t="array" aca="1" ref="C272" ca="1">INDEX({"S001","S002","S003","S004","S005"}, RANDBETWEEN(1,5))</f>
        <v>S003</v>
      </c>
      <c r="D272" s="5" t="str" cm="1">
        <f t="array" aca="1" ref="D272" ca="1">INDEX({"Mumbai","Delhi","Bangalore","Ahmedabad","Chennai"}, RANDBETWEEN(1,5))</f>
        <v>Ahmedabad</v>
      </c>
      <c r="E272" s="5" t="str" cm="1">
        <f t="array" aca="1" ref="E272" ca="1">INDEX({"Electronics","Groceries","Furniture","Clothing","Stationery"}, RANDBETWEEN(1,5))</f>
        <v>Electronics</v>
      </c>
      <c r="F272" s="5" t="str">
        <f t="shared" ca="1" si="21"/>
        <v>Shampoo</v>
      </c>
      <c r="G272" s="8">
        <f t="shared" ca="1" si="22"/>
        <v>48</v>
      </c>
      <c r="H272" s="10">
        <f t="shared" ca="1" si="23"/>
        <v>500</v>
      </c>
      <c r="I272" s="10">
        <f t="shared" ca="1" si="24"/>
        <v>24000</v>
      </c>
      <c r="J272" s="10">
        <f ca="1">Table2[[#This Row],[Unit Price]] * RANDBETWEEN(70,90)/100</f>
        <v>425</v>
      </c>
      <c r="K272" s="12">
        <f ca="1">(Table2[[#This Row],[Unit Price]] - Table2[[#This Row],[Cost per Unit]]) * Table2[[#This Row],[Units Sold]]</f>
        <v>3600</v>
      </c>
    </row>
    <row r="273" spans="1:11" ht="15.6" x14ac:dyDescent="0.3">
      <c r="A273" s="5" cm="1">
        <f t="array" ref="A273">1000 + ROW(273:273)</f>
        <v>1273</v>
      </c>
      <c r="B273" s="6">
        <f t="shared" ca="1" si="20"/>
        <v>45348</v>
      </c>
      <c r="C273" s="5" t="str" cm="1">
        <f t="array" aca="1" ref="C273" ca="1">INDEX({"S001","S002","S003","S004","S005"}, RANDBETWEEN(1,5))</f>
        <v>S004</v>
      </c>
      <c r="D273" s="5" t="str" cm="1">
        <f t="array" aca="1" ref="D273" ca="1">INDEX({"Mumbai","Delhi","Bangalore","Ahmedabad","Chennai"}, RANDBETWEEN(1,5))</f>
        <v>Mumbai</v>
      </c>
      <c r="E273" s="5" t="str" cm="1">
        <f t="array" aca="1" ref="E273" ca="1">INDEX({"Electronics","Groceries","Furniture","Clothing","Stationery"}, RANDBETWEEN(1,5))</f>
        <v>Electronics</v>
      </c>
      <c r="F273" s="5" t="str">
        <f t="shared" ca="1" si="21"/>
        <v>Notebook</v>
      </c>
      <c r="G273" s="8">
        <f t="shared" ca="1" si="22"/>
        <v>61</v>
      </c>
      <c r="H273" s="10">
        <f t="shared" ca="1" si="23"/>
        <v>300</v>
      </c>
      <c r="I273" s="10">
        <f t="shared" ca="1" si="24"/>
        <v>18300</v>
      </c>
      <c r="J273" s="10">
        <f ca="1">Table2[[#This Row],[Unit Price]] * RANDBETWEEN(70,90)/100</f>
        <v>231</v>
      </c>
      <c r="K273" s="12">
        <f ca="1">(Table2[[#This Row],[Unit Price]] - Table2[[#This Row],[Cost per Unit]]) * Table2[[#This Row],[Units Sold]]</f>
        <v>4209</v>
      </c>
    </row>
    <row r="274" spans="1:11" ht="15.6" x14ac:dyDescent="0.3">
      <c r="A274" s="5" cm="1">
        <f t="array" ref="A274">1000 + ROW(274:274)</f>
        <v>1274</v>
      </c>
      <c r="B274" s="6">
        <f t="shared" ca="1" si="20"/>
        <v>45335</v>
      </c>
      <c r="C274" s="5" t="str" cm="1">
        <f t="array" aca="1" ref="C274" ca="1">INDEX({"S001","S002","S003","S004","S005"}, RANDBETWEEN(1,5))</f>
        <v>S005</v>
      </c>
      <c r="D274" s="5" t="str" cm="1">
        <f t="array" aca="1" ref="D274" ca="1">INDEX({"Mumbai","Delhi","Bangalore","Ahmedabad","Chennai"}, RANDBETWEEN(1,5))</f>
        <v>Ahmedabad</v>
      </c>
      <c r="E274" s="5" t="str" cm="1">
        <f t="array" aca="1" ref="E274" ca="1">INDEX({"Electronics","Groceries","Furniture","Clothing","Stationery"}, RANDBETWEEN(1,5))</f>
        <v>Groceries</v>
      </c>
      <c r="F274" s="5" t="str">
        <f t="shared" ca="1" si="21"/>
        <v>Office Chair</v>
      </c>
      <c r="G274" s="8">
        <f t="shared" ca="1" si="22"/>
        <v>43</v>
      </c>
      <c r="H274" s="10">
        <f t="shared" ca="1" si="23"/>
        <v>15000</v>
      </c>
      <c r="I274" s="10">
        <f t="shared" ca="1" si="24"/>
        <v>645000</v>
      </c>
      <c r="J274" s="10">
        <f ca="1">Table2[[#This Row],[Unit Price]] * RANDBETWEEN(70,90)/100</f>
        <v>10650</v>
      </c>
      <c r="K274" s="12">
        <f ca="1">(Table2[[#This Row],[Unit Price]] - Table2[[#This Row],[Cost per Unit]]) * Table2[[#This Row],[Units Sold]]</f>
        <v>187050</v>
      </c>
    </row>
    <row r="275" spans="1:11" ht="15.6" x14ac:dyDescent="0.3">
      <c r="A275" s="5" cm="1">
        <f t="array" ref="A275">1000 + ROW(275:275)</f>
        <v>1275</v>
      </c>
      <c r="B275" s="6">
        <f t="shared" ca="1" si="20"/>
        <v>45349</v>
      </c>
      <c r="C275" s="5" t="str" cm="1">
        <f t="array" aca="1" ref="C275" ca="1">INDEX({"S001","S002","S003","S004","S005"}, RANDBETWEEN(1,5))</f>
        <v>S003</v>
      </c>
      <c r="D275" s="5" t="str" cm="1">
        <f t="array" aca="1" ref="D275" ca="1">INDEX({"Mumbai","Delhi","Bangalore","Ahmedabad","Chennai"}, RANDBETWEEN(1,5))</f>
        <v>Bangalore</v>
      </c>
      <c r="E275" s="5" t="str" cm="1">
        <f t="array" aca="1" ref="E275" ca="1">INDEX({"Electronics","Groceries","Furniture","Clothing","Stationery"}, RANDBETWEEN(1,5))</f>
        <v>Electronics</v>
      </c>
      <c r="F275" s="5" t="str">
        <f t="shared" ca="1" si="21"/>
        <v>Notebook</v>
      </c>
      <c r="G275" s="8">
        <f t="shared" ca="1" si="22"/>
        <v>51</v>
      </c>
      <c r="H275" s="10">
        <f t="shared" ca="1" si="23"/>
        <v>150</v>
      </c>
      <c r="I275" s="10">
        <f t="shared" ca="1" si="24"/>
        <v>7650</v>
      </c>
      <c r="J275" s="10">
        <f ca="1">Table2[[#This Row],[Unit Price]] * RANDBETWEEN(70,90)/100</f>
        <v>105</v>
      </c>
      <c r="K275" s="12">
        <f ca="1">(Table2[[#This Row],[Unit Price]] - Table2[[#This Row],[Cost per Unit]]) * Table2[[#This Row],[Units Sold]]</f>
        <v>2295</v>
      </c>
    </row>
    <row r="276" spans="1:11" ht="15.6" x14ac:dyDescent="0.3">
      <c r="A276" s="5" cm="1">
        <f t="array" ref="A276">1000 + ROW(276:276)</f>
        <v>1276</v>
      </c>
      <c r="B276" s="6">
        <f t="shared" ca="1" si="20"/>
        <v>45298</v>
      </c>
      <c r="C276" s="5" t="str" cm="1">
        <f t="array" aca="1" ref="C276" ca="1">INDEX({"S001","S002","S003","S004","S005"}, RANDBETWEEN(1,5))</f>
        <v>S004</v>
      </c>
      <c r="D276" s="5" t="str" cm="1">
        <f t="array" aca="1" ref="D276" ca="1">INDEX({"Mumbai","Delhi","Bangalore","Ahmedabad","Chennai"}, RANDBETWEEN(1,5))</f>
        <v>Delhi</v>
      </c>
      <c r="E276" s="5" t="str" cm="1">
        <f t="array" aca="1" ref="E276" ca="1">INDEX({"Electronics","Groceries","Furniture","Clothing","Stationery"}, RANDBETWEEN(1,5))</f>
        <v>Stationery</v>
      </c>
      <c r="F276" s="5" t="str">
        <f t="shared" ca="1" si="21"/>
        <v>Rice 5kg</v>
      </c>
      <c r="G276" s="8">
        <f t="shared" ca="1" si="22"/>
        <v>75</v>
      </c>
      <c r="H276" s="10">
        <f t="shared" ca="1" si="23"/>
        <v>500</v>
      </c>
      <c r="I276" s="10">
        <f t="shared" ca="1" si="24"/>
        <v>37500</v>
      </c>
      <c r="J276" s="10">
        <f ca="1">Table2[[#This Row],[Unit Price]] * RANDBETWEEN(70,90)/100</f>
        <v>410</v>
      </c>
      <c r="K276" s="12">
        <f ca="1">(Table2[[#This Row],[Unit Price]] - Table2[[#This Row],[Cost per Unit]]) * Table2[[#This Row],[Units Sold]]</f>
        <v>6750</v>
      </c>
    </row>
    <row r="277" spans="1:11" ht="15.6" x14ac:dyDescent="0.3">
      <c r="A277" s="5" cm="1">
        <f t="array" ref="A277">1000 + ROW(277:277)</f>
        <v>1277</v>
      </c>
      <c r="B277" s="6">
        <f t="shared" ca="1" si="20"/>
        <v>45311</v>
      </c>
      <c r="C277" s="5" t="str" cm="1">
        <f t="array" aca="1" ref="C277" ca="1">INDEX({"S001","S002","S003","S004","S005"}, RANDBETWEEN(1,5))</f>
        <v>S001</v>
      </c>
      <c r="D277" s="5" t="str" cm="1">
        <f t="array" aca="1" ref="D277" ca="1">INDEX({"Mumbai","Delhi","Bangalore","Ahmedabad","Chennai"}, RANDBETWEEN(1,5))</f>
        <v>Delhi</v>
      </c>
      <c r="E277" s="5" t="str" cm="1">
        <f t="array" aca="1" ref="E277" ca="1">INDEX({"Electronics","Groceries","Furniture","Clothing","Stationery"}, RANDBETWEEN(1,5))</f>
        <v>Electronics</v>
      </c>
      <c r="F277" s="5" t="str">
        <f t="shared" ca="1" si="21"/>
        <v>Table</v>
      </c>
      <c r="G277" s="8">
        <f t="shared" ca="1" si="22"/>
        <v>85</v>
      </c>
      <c r="H277" s="10">
        <f t="shared" ca="1" si="23"/>
        <v>1200</v>
      </c>
      <c r="I277" s="10">
        <f t="shared" ca="1" si="24"/>
        <v>102000</v>
      </c>
      <c r="J277" s="10">
        <f ca="1">Table2[[#This Row],[Unit Price]] * RANDBETWEEN(70,90)/100</f>
        <v>996</v>
      </c>
      <c r="K277" s="12">
        <f ca="1">(Table2[[#This Row],[Unit Price]] - Table2[[#This Row],[Cost per Unit]]) * Table2[[#This Row],[Units Sold]]</f>
        <v>17340</v>
      </c>
    </row>
    <row r="278" spans="1:11" ht="15.6" x14ac:dyDescent="0.3">
      <c r="A278" s="5" cm="1">
        <f t="array" ref="A278">1000 + ROW(278:278)</f>
        <v>1278</v>
      </c>
      <c r="B278" s="6">
        <f t="shared" ca="1" si="20"/>
        <v>45366</v>
      </c>
      <c r="C278" s="5" t="str" cm="1">
        <f t="array" aca="1" ref="C278" ca="1">INDEX({"S001","S002","S003","S004","S005"}, RANDBETWEEN(1,5))</f>
        <v>S003</v>
      </c>
      <c r="D278" s="5" t="str" cm="1">
        <f t="array" aca="1" ref="D278" ca="1">INDEX({"Mumbai","Delhi","Bangalore","Ahmedabad","Chennai"}, RANDBETWEEN(1,5))</f>
        <v>Ahmedabad</v>
      </c>
      <c r="E278" s="5" t="str" cm="1">
        <f t="array" aca="1" ref="E278" ca="1">INDEX({"Electronics","Groceries","Furniture","Clothing","Stationery"}, RANDBETWEEN(1,5))</f>
        <v>Clothing</v>
      </c>
      <c r="F278" s="5" t="str">
        <f t="shared" ca="1" si="21"/>
        <v>Rice 5kg</v>
      </c>
      <c r="G278" s="8">
        <f t="shared" ca="1" si="22"/>
        <v>66</v>
      </c>
      <c r="H278" s="10">
        <f t="shared" ca="1" si="23"/>
        <v>300</v>
      </c>
      <c r="I278" s="10">
        <f t="shared" ca="1" si="24"/>
        <v>19800</v>
      </c>
      <c r="J278" s="10">
        <f ca="1">Table2[[#This Row],[Unit Price]] * RANDBETWEEN(70,90)/100</f>
        <v>219</v>
      </c>
      <c r="K278" s="12">
        <f ca="1">(Table2[[#This Row],[Unit Price]] - Table2[[#This Row],[Cost per Unit]]) * Table2[[#This Row],[Units Sold]]</f>
        <v>5346</v>
      </c>
    </row>
    <row r="279" spans="1:11" ht="15.6" x14ac:dyDescent="0.3">
      <c r="A279" s="5" cm="1">
        <f t="array" ref="A279">1000 + ROW(279:279)</f>
        <v>1279</v>
      </c>
      <c r="B279" s="6">
        <f t="shared" ca="1" si="20"/>
        <v>45342</v>
      </c>
      <c r="C279" s="5" t="str" cm="1">
        <f t="array" aca="1" ref="C279" ca="1">INDEX({"S001","S002","S003","S004","S005"}, RANDBETWEEN(1,5))</f>
        <v>S004</v>
      </c>
      <c r="D279" s="5" t="str" cm="1">
        <f t="array" aca="1" ref="D279" ca="1">INDEX({"Mumbai","Delhi","Bangalore","Ahmedabad","Chennai"}, RANDBETWEEN(1,5))</f>
        <v>Mumbai</v>
      </c>
      <c r="E279" s="5" t="str" cm="1">
        <f t="array" aca="1" ref="E279" ca="1">INDEX({"Electronics","Groceries","Furniture","Clothing","Stationery"}, RANDBETWEEN(1,5))</f>
        <v>Groceries</v>
      </c>
      <c r="F279" s="5" t="str">
        <f t="shared" ca="1" si="21"/>
        <v>Rice 5kg</v>
      </c>
      <c r="G279" s="8">
        <f t="shared" ca="1" si="22"/>
        <v>10</v>
      </c>
      <c r="H279" s="10">
        <f t="shared" ca="1" si="23"/>
        <v>150</v>
      </c>
      <c r="I279" s="10">
        <f t="shared" ca="1" si="24"/>
        <v>1500</v>
      </c>
      <c r="J279" s="10">
        <f ca="1">Table2[[#This Row],[Unit Price]] * RANDBETWEEN(70,90)/100</f>
        <v>129</v>
      </c>
      <c r="K279" s="12">
        <f ca="1">(Table2[[#This Row],[Unit Price]] - Table2[[#This Row],[Cost per Unit]]) * Table2[[#This Row],[Units Sold]]</f>
        <v>210</v>
      </c>
    </row>
    <row r="280" spans="1:11" ht="15.6" x14ac:dyDescent="0.3">
      <c r="A280" s="5" cm="1">
        <f t="array" ref="A280">1000 + ROW(280:280)</f>
        <v>1280</v>
      </c>
      <c r="B280" s="6">
        <f t="shared" ca="1" si="20"/>
        <v>45377</v>
      </c>
      <c r="C280" s="5" t="str" cm="1">
        <f t="array" aca="1" ref="C280" ca="1">INDEX({"S001","S002","S003","S004","S005"}, RANDBETWEEN(1,5))</f>
        <v>S004</v>
      </c>
      <c r="D280" s="5" t="str" cm="1">
        <f t="array" aca="1" ref="D280" ca="1">INDEX({"Mumbai","Delhi","Bangalore","Ahmedabad","Chennai"}, RANDBETWEEN(1,5))</f>
        <v>Chennai</v>
      </c>
      <c r="E280" s="5" t="str" cm="1">
        <f t="array" aca="1" ref="E280" ca="1">INDEX({"Electronics","Groceries","Furniture","Clothing","Stationery"}, RANDBETWEEN(1,5))</f>
        <v>Clothing</v>
      </c>
      <c r="F280" s="5" t="str">
        <f t="shared" ca="1" si="21"/>
        <v>Desk Lamp</v>
      </c>
      <c r="G280" s="8">
        <f t="shared" ca="1" si="22"/>
        <v>99</v>
      </c>
      <c r="H280" s="10">
        <f t="shared" ca="1" si="23"/>
        <v>300</v>
      </c>
      <c r="I280" s="10">
        <f t="shared" ca="1" si="24"/>
        <v>29700</v>
      </c>
      <c r="J280" s="10">
        <f ca="1">Table2[[#This Row],[Unit Price]] * RANDBETWEEN(70,90)/100</f>
        <v>246</v>
      </c>
      <c r="K280" s="12">
        <f ca="1">(Table2[[#This Row],[Unit Price]] - Table2[[#This Row],[Cost per Unit]]) * Table2[[#This Row],[Units Sold]]</f>
        <v>5346</v>
      </c>
    </row>
    <row r="281" spans="1:11" ht="15.6" x14ac:dyDescent="0.3">
      <c r="A281" s="5" cm="1">
        <f t="array" ref="A281">1000 + ROW(281:281)</f>
        <v>1281</v>
      </c>
      <c r="B281" s="6">
        <f t="shared" ca="1" si="20"/>
        <v>45326</v>
      </c>
      <c r="C281" s="5" t="str" cm="1">
        <f t="array" aca="1" ref="C281" ca="1">INDEX({"S001","S002","S003","S004","S005"}, RANDBETWEEN(1,5))</f>
        <v>S004</v>
      </c>
      <c r="D281" s="5" t="str" cm="1">
        <f t="array" aca="1" ref="D281" ca="1">INDEX({"Mumbai","Delhi","Bangalore","Ahmedabad","Chennai"}, RANDBETWEEN(1,5))</f>
        <v>Mumbai</v>
      </c>
      <c r="E281" s="5" t="str" cm="1">
        <f t="array" aca="1" ref="E281" ca="1">INDEX({"Electronics","Groceries","Furniture","Clothing","Stationery"}, RANDBETWEEN(1,5))</f>
        <v>Clothing</v>
      </c>
      <c r="F281" s="5" t="str">
        <f t="shared" ca="1" si="21"/>
        <v>Laptop</v>
      </c>
      <c r="G281" s="8">
        <f t="shared" ca="1" si="22"/>
        <v>42</v>
      </c>
      <c r="H281" s="10">
        <f t="shared" ca="1" si="23"/>
        <v>300</v>
      </c>
      <c r="I281" s="10">
        <f t="shared" ca="1" si="24"/>
        <v>12600</v>
      </c>
      <c r="J281" s="10">
        <f ca="1">Table2[[#This Row],[Unit Price]] * RANDBETWEEN(70,90)/100</f>
        <v>258</v>
      </c>
      <c r="K281" s="12">
        <f ca="1">(Table2[[#This Row],[Unit Price]] - Table2[[#This Row],[Cost per Unit]]) * Table2[[#This Row],[Units Sold]]</f>
        <v>1764</v>
      </c>
    </row>
    <row r="282" spans="1:11" ht="15.6" x14ac:dyDescent="0.3">
      <c r="A282" s="5" cm="1">
        <f t="array" ref="A282">1000 + ROW(282:282)</f>
        <v>1282</v>
      </c>
      <c r="B282" s="6">
        <f t="shared" ca="1" si="20"/>
        <v>45323</v>
      </c>
      <c r="C282" s="5" t="str" cm="1">
        <f t="array" aca="1" ref="C282" ca="1">INDEX({"S001","S002","S003","S004","S005"}, RANDBETWEEN(1,5))</f>
        <v>S005</v>
      </c>
      <c r="D282" s="5" t="str" cm="1">
        <f t="array" aca="1" ref="D282" ca="1">INDEX({"Mumbai","Delhi","Bangalore","Ahmedabad","Chennai"}, RANDBETWEEN(1,5))</f>
        <v>Chennai</v>
      </c>
      <c r="E282" s="5" t="str" cm="1">
        <f t="array" aca="1" ref="E282" ca="1">INDEX({"Electronics","Groceries","Furniture","Clothing","Stationery"}, RANDBETWEEN(1,5))</f>
        <v>Furniture</v>
      </c>
      <c r="F282" s="5" t="str">
        <f t="shared" ca="1" si="21"/>
        <v>Cooking Oil 1L</v>
      </c>
      <c r="G282" s="8">
        <f t="shared" ca="1" si="22"/>
        <v>61</v>
      </c>
      <c r="H282" s="10">
        <f t="shared" ca="1" si="23"/>
        <v>300</v>
      </c>
      <c r="I282" s="10">
        <f t="shared" ca="1" si="24"/>
        <v>18300</v>
      </c>
      <c r="J282" s="10">
        <f ca="1">Table2[[#This Row],[Unit Price]] * RANDBETWEEN(70,90)/100</f>
        <v>234</v>
      </c>
      <c r="K282" s="12">
        <f ca="1">(Table2[[#This Row],[Unit Price]] - Table2[[#This Row],[Cost per Unit]]) * Table2[[#This Row],[Units Sold]]</f>
        <v>4026</v>
      </c>
    </row>
    <row r="283" spans="1:11" ht="15.6" x14ac:dyDescent="0.3">
      <c r="A283" s="5" cm="1">
        <f t="array" ref="A283">1000 + ROW(283:283)</f>
        <v>1283</v>
      </c>
      <c r="B283" s="6">
        <f t="shared" ca="1" si="20"/>
        <v>45339</v>
      </c>
      <c r="C283" s="5" t="str" cm="1">
        <f t="array" aca="1" ref="C283" ca="1">INDEX({"S001","S002","S003","S004","S005"}, RANDBETWEEN(1,5))</f>
        <v>S001</v>
      </c>
      <c r="D283" s="5" t="str" cm="1">
        <f t="array" aca="1" ref="D283" ca="1">INDEX({"Mumbai","Delhi","Bangalore","Ahmedabad","Chennai"}, RANDBETWEEN(1,5))</f>
        <v>Bangalore</v>
      </c>
      <c r="E283" s="5" t="str" cm="1">
        <f t="array" aca="1" ref="E283" ca="1">INDEX({"Electronics","Groceries","Furniture","Clothing","Stationery"}, RANDBETWEEN(1,5))</f>
        <v>Furniture</v>
      </c>
      <c r="F283" s="5" t="str">
        <f t="shared" ca="1" si="21"/>
        <v>Office Chair</v>
      </c>
      <c r="G283" s="8">
        <f t="shared" ca="1" si="22"/>
        <v>67</v>
      </c>
      <c r="H283" s="10">
        <f t="shared" ca="1" si="23"/>
        <v>15000</v>
      </c>
      <c r="I283" s="10">
        <f t="shared" ca="1" si="24"/>
        <v>1005000</v>
      </c>
      <c r="J283" s="10">
        <f ca="1">Table2[[#This Row],[Unit Price]] * RANDBETWEEN(70,90)/100</f>
        <v>11850</v>
      </c>
      <c r="K283" s="12">
        <f ca="1">(Table2[[#This Row],[Unit Price]] - Table2[[#This Row],[Cost per Unit]]) * Table2[[#This Row],[Units Sold]]</f>
        <v>211050</v>
      </c>
    </row>
    <row r="284" spans="1:11" ht="15.6" x14ac:dyDescent="0.3">
      <c r="A284" s="5" cm="1">
        <f t="array" ref="A284">1000 + ROW(284:284)</f>
        <v>1284</v>
      </c>
      <c r="B284" s="6">
        <f t="shared" ca="1" si="20"/>
        <v>45343</v>
      </c>
      <c r="C284" s="5" t="str" cm="1">
        <f t="array" aca="1" ref="C284" ca="1">INDEX({"S001","S002","S003","S004","S005"}, RANDBETWEEN(1,5))</f>
        <v>S003</v>
      </c>
      <c r="D284" s="5" t="str" cm="1">
        <f t="array" aca="1" ref="D284" ca="1">INDEX({"Mumbai","Delhi","Bangalore","Ahmedabad","Chennai"}, RANDBETWEEN(1,5))</f>
        <v>Delhi</v>
      </c>
      <c r="E284" s="5" t="str" cm="1">
        <f t="array" aca="1" ref="E284" ca="1">INDEX({"Electronics","Groceries","Furniture","Clothing","Stationery"}, RANDBETWEEN(1,5))</f>
        <v>Clothing</v>
      </c>
      <c r="F284" s="5" t="str">
        <f t="shared" ca="1" si="21"/>
        <v>Shampoo</v>
      </c>
      <c r="G284" s="8">
        <f t="shared" ca="1" si="22"/>
        <v>46</v>
      </c>
      <c r="H284" s="10">
        <f t="shared" ca="1" si="23"/>
        <v>700</v>
      </c>
      <c r="I284" s="10">
        <f t="shared" ca="1" si="24"/>
        <v>32200</v>
      </c>
      <c r="J284" s="10">
        <f ca="1">Table2[[#This Row],[Unit Price]] * RANDBETWEEN(70,90)/100</f>
        <v>560</v>
      </c>
      <c r="K284" s="12">
        <f ca="1">(Table2[[#This Row],[Unit Price]] - Table2[[#This Row],[Cost per Unit]]) * Table2[[#This Row],[Units Sold]]</f>
        <v>6440</v>
      </c>
    </row>
    <row r="285" spans="1:11" ht="15.6" x14ac:dyDescent="0.3">
      <c r="A285" s="5" cm="1">
        <f t="array" ref="A285">1000 + ROW(285:285)</f>
        <v>1285</v>
      </c>
      <c r="B285" s="6">
        <f t="shared" ca="1" si="20"/>
        <v>45292</v>
      </c>
      <c r="C285" s="5" t="str" cm="1">
        <f t="array" aca="1" ref="C285" ca="1">INDEX({"S001","S002","S003","S004","S005"}, RANDBETWEEN(1,5))</f>
        <v>S001</v>
      </c>
      <c r="D285" s="5" t="str" cm="1">
        <f t="array" aca="1" ref="D285" ca="1">INDEX({"Mumbai","Delhi","Bangalore","Ahmedabad","Chennai"}, RANDBETWEEN(1,5))</f>
        <v>Delhi</v>
      </c>
      <c r="E285" s="5" t="str" cm="1">
        <f t="array" aca="1" ref="E285" ca="1">INDEX({"Electronics","Groceries","Furniture","Clothing","Stationery"}, RANDBETWEEN(1,5))</f>
        <v>Clothing</v>
      </c>
      <c r="F285" s="5" t="str">
        <f t="shared" ca="1" si="21"/>
        <v>Table</v>
      </c>
      <c r="G285" s="8">
        <f t="shared" ca="1" si="22"/>
        <v>1</v>
      </c>
      <c r="H285" s="10">
        <f t="shared" ca="1" si="23"/>
        <v>15000</v>
      </c>
      <c r="I285" s="10">
        <f t="shared" ca="1" si="24"/>
        <v>15000</v>
      </c>
      <c r="J285" s="10">
        <f ca="1">Table2[[#This Row],[Unit Price]] * RANDBETWEEN(70,90)/100</f>
        <v>13350</v>
      </c>
      <c r="K285" s="12">
        <f ca="1">(Table2[[#This Row],[Unit Price]] - Table2[[#This Row],[Cost per Unit]]) * Table2[[#This Row],[Units Sold]]</f>
        <v>1650</v>
      </c>
    </row>
    <row r="286" spans="1:11" ht="15.6" x14ac:dyDescent="0.3">
      <c r="A286" s="5" cm="1">
        <f t="array" ref="A286">1000 + ROW(286:286)</f>
        <v>1286</v>
      </c>
      <c r="B286" s="6">
        <f t="shared" ca="1" si="20"/>
        <v>45325</v>
      </c>
      <c r="C286" s="5" t="str" cm="1">
        <f t="array" aca="1" ref="C286" ca="1">INDEX({"S001","S002","S003","S004","S005"}, RANDBETWEEN(1,5))</f>
        <v>S001</v>
      </c>
      <c r="D286" s="5" t="str" cm="1">
        <f t="array" aca="1" ref="D286" ca="1">INDEX({"Mumbai","Delhi","Bangalore","Ahmedabad","Chennai"}, RANDBETWEEN(1,5))</f>
        <v>Ahmedabad</v>
      </c>
      <c r="E286" s="5" t="str" cm="1">
        <f t="array" aca="1" ref="E286" ca="1">INDEX({"Electronics","Groceries","Furniture","Clothing","Stationery"}, RANDBETWEEN(1,5))</f>
        <v>Electronics</v>
      </c>
      <c r="F286" s="5" t="str">
        <f t="shared" ca="1" si="21"/>
        <v>T-shirt</v>
      </c>
      <c r="G286" s="8">
        <f t="shared" ca="1" si="22"/>
        <v>95</v>
      </c>
      <c r="H286" s="10">
        <f t="shared" ca="1" si="23"/>
        <v>900</v>
      </c>
      <c r="I286" s="10">
        <f t="shared" ca="1" si="24"/>
        <v>85500</v>
      </c>
      <c r="J286" s="10">
        <f ca="1">Table2[[#This Row],[Unit Price]] * RANDBETWEEN(70,90)/100</f>
        <v>801</v>
      </c>
      <c r="K286" s="12">
        <f ca="1">(Table2[[#This Row],[Unit Price]] - Table2[[#This Row],[Cost per Unit]]) * Table2[[#This Row],[Units Sold]]</f>
        <v>9405</v>
      </c>
    </row>
    <row r="287" spans="1:11" ht="15.6" x14ac:dyDescent="0.3">
      <c r="A287" s="5" cm="1">
        <f t="array" ref="A287">1000 + ROW(287:287)</f>
        <v>1287</v>
      </c>
      <c r="B287" s="6">
        <f t="shared" ca="1" si="20"/>
        <v>45341</v>
      </c>
      <c r="C287" s="5" t="str" cm="1">
        <f t="array" aca="1" ref="C287" ca="1">INDEX({"S001","S002","S003","S004","S005"}, RANDBETWEEN(1,5))</f>
        <v>S005</v>
      </c>
      <c r="D287" s="5" t="str" cm="1">
        <f t="array" aca="1" ref="D287" ca="1">INDEX({"Mumbai","Delhi","Bangalore","Ahmedabad","Chennai"}, RANDBETWEEN(1,5))</f>
        <v>Mumbai</v>
      </c>
      <c r="E287" s="5" t="str" cm="1">
        <f t="array" aca="1" ref="E287" ca="1">INDEX({"Electronics","Groceries","Furniture","Clothing","Stationery"}, RANDBETWEEN(1,5))</f>
        <v>Furniture</v>
      </c>
      <c r="F287" s="5" t="str">
        <f t="shared" ca="1" si="21"/>
        <v>Laptop</v>
      </c>
      <c r="G287" s="8">
        <f t="shared" ca="1" si="22"/>
        <v>94</v>
      </c>
      <c r="H287" s="10">
        <f t="shared" ca="1" si="23"/>
        <v>50</v>
      </c>
      <c r="I287" s="10">
        <f t="shared" ca="1" si="24"/>
        <v>4700</v>
      </c>
      <c r="J287" s="10">
        <f ca="1">Table2[[#This Row],[Unit Price]] * RANDBETWEEN(70,90)/100</f>
        <v>40</v>
      </c>
      <c r="K287" s="12">
        <f ca="1">(Table2[[#This Row],[Unit Price]] - Table2[[#This Row],[Cost per Unit]]) * Table2[[#This Row],[Units Sold]]</f>
        <v>940</v>
      </c>
    </row>
    <row r="288" spans="1:11" ht="15.6" x14ac:dyDescent="0.3">
      <c r="A288" s="5" cm="1">
        <f t="array" ref="A288">1000 + ROW(288:288)</f>
        <v>1288</v>
      </c>
      <c r="B288" s="6">
        <f t="shared" ca="1" si="20"/>
        <v>45350</v>
      </c>
      <c r="C288" s="5" t="str" cm="1">
        <f t="array" aca="1" ref="C288" ca="1">INDEX({"S001","S002","S003","S004","S005"}, RANDBETWEEN(1,5))</f>
        <v>S002</v>
      </c>
      <c r="D288" s="5" t="str" cm="1">
        <f t="array" aca="1" ref="D288" ca="1">INDEX({"Mumbai","Delhi","Bangalore","Ahmedabad","Chennai"}, RANDBETWEEN(1,5))</f>
        <v>Bangalore</v>
      </c>
      <c r="E288" s="5" t="str" cm="1">
        <f t="array" aca="1" ref="E288" ca="1">INDEX({"Electronics","Groceries","Furniture","Clothing","Stationery"}, RANDBETWEEN(1,5))</f>
        <v>Clothing</v>
      </c>
      <c r="F288" s="5" t="str">
        <f t="shared" ca="1" si="21"/>
        <v>Rice 5kg</v>
      </c>
      <c r="G288" s="8">
        <f t="shared" ca="1" si="22"/>
        <v>78</v>
      </c>
      <c r="H288" s="10">
        <f t="shared" ca="1" si="23"/>
        <v>500</v>
      </c>
      <c r="I288" s="10">
        <f t="shared" ca="1" si="24"/>
        <v>39000</v>
      </c>
      <c r="J288" s="10">
        <f ca="1">Table2[[#This Row],[Unit Price]] * RANDBETWEEN(70,90)/100</f>
        <v>360</v>
      </c>
      <c r="K288" s="12">
        <f ca="1">(Table2[[#This Row],[Unit Price]] - Table2[[#This Row],[Cost per Unit]]) * Table2[[#This Row],[Units Sold]]</f>
        <v>10920</v>
      </c>
    </row>
    <row r="289" spans="1:11" ht="15.6" x14ac:dyDescent="0.3">
      <c r="A289" s="5" cm="1">
        <f t="array" ref="A289">1000 + ROW(289:289)</f>
        <v>1289</v>
      </c>
      <c r="B289" s="6">
        <f t="shared" ca="1" si="20"/>
        <v>45307</v>
      </c>
      <c r="C289" s="5" t="str" cm="1">
        <f t="array" aca="1" ref="C289" ca="1">INDEX({"S001","S002","S003","S004","S005"}, RANDBETWEEN(1,5))</f>
        <v>S004</v>
      </c>
      <c r="D289" s="5" t="str" cm="1">
        <f t="array" aca="1" ref="D289" ca="1">INDEX({"Mumbai","Delhi","Bangalore","Ahmedabad","Chennai"}, RANDBETWEEN(1,5))</f>
        <v>Chennai</v>
      </c>
      <c r="E289" s="5" t="str" cm="1">
        <f t="array" aca="1" ref="E289" ca="1">INDEX({"Electronics","Groceries","Furniture","Clothing","Stationery"}, RANDBETWEEN(1,5))</f>
        <v>Clothing</v>
      </c>
      <c r="F289" s="5" t="str">
        <f t="shared" ca="1" si="21"/>
        <v>Cooking Oil 1L</v>
      </c>
      <c r="G289" s="8">
        <f t="shared" ca="1" si="22"/>
        <v>60</v>
      </c>
      <c r="H289" s="10">
        <f t="shared" ca="1" si="23"/>
        <v>50</v>
      </c>
      <c r="I289" s="10">
        <f t="shared" ca="1" si="24"/>
        <v>3000</v>
      </c>
      <c r="J289" s="10">
        <f ca="1">Table2[[#This Row],[Unit Price]] * RANDBETWEEN(70,90)/100</f>
        <v>45</v>
      </c>
      <c r="K289" s="12">
        <f ca="1">(Table2[[#This Row],[Unit Price]] - Table2[[#This Row],[Cost per Unit]]) * Table2[[#This Row],[Units Sold]]</f>
        <v>300</v>
      </c>
    </row>
    <row r="290" spans="1:11" ht="15.6" x14ac:dyDescent="0.3">
      <c r="A290" s="5" cm="1">
        <f t="array" ref="A290">1000 + ROW(290:290)</f>
        <v>1290</v>
      </c>
      <c r="B290" s="6">
        <f t="shared" ca="1" si="20"/>
        <v>45351</v>
      </c>
      <c r="C290" s="5" t="str" cm="1">
        <f t="array" aca="1" ref="C290" ca="1">INDEX({"S001","S002","S003","S004","S005"}, RANDBETWEEN(1,5))</f>
        <v>S001</v>
      </c>
      <c r="D290" s="5" t="str" cm="1">
        <f t="array" aca="1" ref="D290" ca="1">INDEX({"Mumbai","Delhi","Bangalore","Ahmedabad","Chennai"}, RANDBETWEEN(1,5))</f>
        <v>Chennai</v>
      </c>
      <c r="E290" s="5" t="str" cm="1">
        <f t="array" aca="1" ref="E290" ca="1">INDEX({"Electronics","Groceries","Furniture","Clothing","Stationery"}, RANDBETWEEN(1,5))</f>
        <v>Stationery</v>
      </c>
      <c r="F290" s="5" t="str">
        <f t="shared" ca="1" si="21"/>
        <v>Cooking Oil 1L</v>
      </c>
      <c r="G290" s="8">
        <f t="shared" ca="1" si="22"/>
        <v>98</v>
      </c>
      <c r="H290" s="10">
        <f t="shared" ca="1" si="23"/>
        <v>150</v>
      </c>
      <c r="I290" s="10">
        <f t="shared" ca="1" si="24"/>
        <v>14700</v>
      </c>
      <c r="J290" s="10">
        <f ca="1">Table2[[#This Row],[Unit Price]] * RANDBETWEEN(70,90)/100</f>
        <v>121.5</v>
      </c>
      <c r="K290" s="12">
        <f ca="1">(Table2[[#This Row],[Unit Price]] - Table2[[#This Row],[Cost per Unit]]) * Table2[[#This Row],[Units Sold]]</f>
        <v>2793</v>
      </c>
    </row>
    <row r="291" spans="1:11" ht="15.6" x14ac:dyDescent="0.3">
      <c r="A291" s="5" cm="1">
        <f t="array" ref="A291">1000 + ROW(291:291)</f>
        <v>1291</v>
      </c>
      <c r="B291" s="6">
        <f t="shared" ca="1" si="20"/>
        <v>45316</v>
      </c>
      <c r="C291" s="5" t="str" cm="1">
        <f t="array" aca="1" ref="C291" ca="1">INDEX({"S001","S002","S003","S004","S005"}, RANDBETWEEN(1,5))</f>
        <v>S001</v>
      </c>
      <c r="D291" s="5" t="str" cm="1">
        <f t="array" aca="1" ref="D291" ca="1">INDEX({"Mumbai","Delhi","Bangalore","Ahmedabad","Chennai"}, RANDBETWEEN(1,5))</f>
        <v>Bangalore</v>
      </c>
      <c r="E291" s="5" t="str" cm="1">
        <f t="array" aca="1" ref="E291" ca="1">INDEX({"Electronics","Groceries","Furniture","Clothing","Stationery"}, RANDBETWEEN(1,5))</f>
        <v>Groceries</v>
      </c>
      <c r="F291" s="5" t="str">
        <f t="shared" ca="1" si="21"/>
        <v>Laptop</v>
      </c>
      <c r="G291" s="8">
        <f t="shared" ca="1" si="22"/>
        <v>51</v>
      </c>
      <c r="H291" s="10">
        <f t="shared" ca="1" si="23"/>
        <v>1200</v>
      </c>
      <c r="I291" s="10">
        <f t="shared" ca="1" si="24"/>
        <v>61200</v>
      </c>
      <c r="J291" s="10">
        <f ca="1">Table2[[#This Row],[Unit Price]] * RANDBETWEEN(70,90)/100</f>
        <v>1008</v>
      </c>
      <c r="K291" s="12">
        <f ca="1">(Table2[[#This Row],[Unit Price]] - Table2[[#This Row],[Cost per Unit]]) * Table2[[#This Row],[Units Sold]]</f>
        <v>9792</v>
      </c>
    </row>
    <row r="292" spans="1:11" ht="15.6" x14ac:dyDescent="0.3">
      <c r="A292" s="5" cm="1">
        <f t="array" ref="A292">1000 + ROW(292:292)</f>
        <v>1292</v>
      </c>
      <c r="B292" s="6">
        <f t="shared" ca="1" si="20"/>
        <v>45359</v>
      </c>
      <c r="C292" s="5" t="str" cm="1">
        <f t="array" aca="1" ref="C292" ca="1">INDEX({"S001","S002","S003","S004","S005"}, RANDBETWEEN(1,5))</f>
        <v>S005</v>
      </c>
      <c r="D292" s="5" t="str" cm="1">
        <f t="array" aca="1" ref="D292" ca="1">INDEX({"Mumbai","Delhi","Bangalore","Ahmedabad","Chennai"}, RANDBETWEEN(1,5))</f>
        <v>Bangalore</v>
      </c>
      <c r="E292" s="5" t="str" cm="1">
        <f t="array" aca="1" ref="E292" ca="1">INDEX({"Electronics","Groceries","Furniture","Clothing","Stationery"}, RANDBETWEEN(1,5))</f>
        <v>Electronics</v>
      </c>
      <c r="F292" s="5" t="str">
        <f t="shared" ca="1" si="21"/>
        <v>Smartphone</v>
      </c>
      <c r="G292" s="8">
        <f t="shared" ca="1" si="22"/>
        <v>37</v>
      </c>
      <c r="H292" s="10">
        <f t="shared" ca="1" si="23"/>
        <v>150</v>
      </c>
      <c r="I292" s="10">
        <f t="shared" ca="1" si="24"/>
        <v>5550</v>
      </c>
      <c r="J292" s="10">
        <f ca="1">Table2[[#This Row],[Unit Price]] * RANDBETWEEN(70,90)/100</f>
        <v>117</v>
      </c>
      <c r="K292" s="12">
        <f ca="1">(Table2[[#This Row],[Unit Price]] - Table2[[#This Row],[Cost per Unit]]) * Table2[[#This Row],[Units Sold]]</f>
        <v>1221</v>
      </c>
    </row>
    <row r="293" spans="1:11" ht="15.6" x14ac:dyDescent="0.3">
      <c r="A293" s="5" cm="1">
        <f t="array" ref="A293">1000 + ROW(293:293)</f>
        <v>1293</v>
      </c>
      <c r="B293" s="6">
        <f t="shared" ca="1" si="20"/>
        <v>45306</v>
      </c>
      <c r="C293" s="5" t="str" cm="1">
        <f t="array" aca="1" ref="C293" ca="1">INDEX({"S001","S002","S003","S004","S005"}, RANDBETWEEN(1,5))</f>
        <v>S003</v>
      </c>
      <c r="D293" s="5" t="str" cm="1">
        <f t="array" aca="1" ref="D293" ca="1">INDEX({"Mumbai","Delhi","Bangalore","Ahmedabad","Chennai"}, RANDBETWEEN(1,5))</f>
        <v>Delhi</v>
      </c>
      <c r="E293" s="5" t="str" cm="1">
        <f t="array" aca="1" ref="E293" ca="1">INDEX({"Electronics","Groceries","Furniture","Clothing","Stationery"}, RANDBETWEEN(1,5))</f>
        <v>Clothing</v>
      </c>
      <c r="F293" s="5" t="str">
        <f t="shared" ca="1" si="21"/>
        <v>Smartphone</v>
      </c>
      <c r="G293" s="8">
        <f t="shared" ca="1" si="22"/>
        <v>61</v>
      </c>
      <c r="H293" s="10">
        <f t="shared" ca="1" si="23"/>
        <v>150</v>
      </c>
      <c r="I293" s="10">
        <f t="shared" ca="1" si="24"/>
        <v>9150</v>
      </c>
      <c r="J293" s="10">
        <f ca="1">Table2[[#This Row],[Unit Price]] * RANDBETWEEN(70,90)/100</f>
        <v>123</v>
      </c>
      <c r="K293" s="12">
        <f ca="1">(Table2[[#This Row],[Unit Price]] - Table2[[#This Row],[Cost per Unit]]) * Table2[[#This Row],[Units Sold]]</f>
        <v>1647</v>
      </c>
    </row>
    <row r="294" spans="1:11" ht="15.6" x14ac:dyDescent="0.3">
      <c r="A294" s="5" cm="1">
        <f t="array" ref="A294">1000 + ROW(294:294)</f>
        <v>1294</v>
      </c>
      <c r="B294" s="6">
        <f t="shared" ca="1" si="20"/>
        <v>45333</v>
      </c>
      <c r="C294" s="5" t="str" cm="1">
        <f t="array" aca="1" ref="C294" ca="1">INDEX({"S001","S002","S003","S004","S005"}, RANDBETWEEN(1,5))</f>
        <v>S005</v>
      </c>
      <c r="D294" s="5" t="str" cm="1">
        <f t="array" aca="1" ref="D294" ca="1">INDEX({"Mumbai","Delhi","Bangalore","Ahmedabad","Chennai"}, RANDBETWEEN(1,5))</f>
        <v>Mumbai</v>
      </c>
      <c r="E294" s="5" t="str" cm="1">
        <f t="array" aca="1" ref="E294" ca="1">INDEX({"Electronics","Groceries","Furniture","Clothing","Stationery"}, RANDBETWEEN(1,5))</f>
        <v>Furniture</v>
      </c>
      <c r="F294" s="5" t="str">
        <f t="shared" ca="1" si="21"/>
        <v>Laptop</v>
      </c>
      <c r="G294" s="8">
        <f t="shared" ca="1" si="22"/>
        <v>22</v>
      </c>
      <c r="H294" s="10">
        <f t="shared" ca="1" si="23"/>
        <v>150</v>
      </c>
      <c r="I294" s="10">
        <f t="shared" ca="1" si="24"/>
        <v>3300</v>
      </c>
      <c r="J294" s="10">
        <f ca="1">Table2[[#This Row],[Unit Price]] * RANDBETWEEN(70,90)/100</f>
        <v>118.5</v>
      </c>
      <c r="K294" s="12">
        <f ca="1">(Table2[[#This Row],[Unit Price]] - Table2[[#This Row],[Cost per Unit]]) * Table2[[#This Row],[Units Sold]]</f>
        <v>693</v>
      </c>
    </row>
    <row r="295" spans="1:11" ht="15.6" x14ac:dyDescent="0.3">
      <c r="A295" s="5" cm="1">
        <f t="array" ref="A295">1000 + ROW(295:295)</f>
        <v>1295</v>
      </c>
      <c r="B295" s="6">
        <f t="shared" ca="1" si="20"/>
        <v>45333</v>
      </c>
      <c r="C295" s="5" t="str" cm="1">
        <f t="array" aca="1" ref="C295" ca="1">INDEX({"S001","S002","S003","S004","S005"}, RANDBETWEEN(1,5))</f>
        <v>S004</v>
      </c>
      <c r="D295" s="5" t="str" cm="1">
        <f t="array" aca="1" ref="D295" ca="1">INDEX({"Mumbai","Delhi","Bangalore","Ahmedabad","Chennai"}, RANDBETWEEN(1,5))</f>
        <v>Chennai</v>
      </c>
      <c r="E295" s="5" t="str" cm="1">
        <f t="array" aca="1" ref="E295" ca="1">INDEX({"Electronics","Groceries","Furniture","Clothing","Stationery"}, RANDBETWEEN(1,5))</f>
        <v>Furniture</v>
      </c>
      <c r="F295" s="5" t="str">
        <f t="shared" ca="1" si="21"/>
        <v>Cooking Oil 1L</v>
      </c>
      <c r="G295" s="8">
        <f t="shared" ca="1" si="22"/>
        <v>96</v>
      </c>
      <c r="H295" s="10">
        <f t="shared" ca="1" si="23"/>
        <v>300</v>
      </c>
      <c r="I295" s="10">
        <f t="shared" ca="1" si="24"/>
        <v>28800</v>
      </c>
      <c r="J295" s="10">
        <f ca="1">Table2[[#This Row],[Unit Price]] * RANDBETWEEN(70,90)/100</f>
        <v>264</v>
      </c>
      <c r="K295" s="12">
        <f ca="1">(Table2[[#This Row],[Unit Price]] - Table2[[#This Row],[Cost per Unit]]) * Table2[[#This Row],[Units Sold]]</f>
        <v>3456</v>
      </c>
    </row>
    <row r="296" spans="1:11" ht="15.6" x14ac:dyDescent="0.3">
      <c r="A296" s="5" cm="1">
        <f t="array" ref="A296">1000 + ROW(296:296)</f>
        <v>1296</v>
      </c>
      <c r="B296" s="6">
        <f t="shared" ca="1" si="20"/>
        <v>45379</v>
      </c>
      <c r="C296" s="5" t="str" cm="1">
        <f t="array" aca="1" ref="C296" ca="1">INDEX({"S001","S002","S003","S004","S005"}, RANDBETWEEN(1,5))</f>
        <v>S001</v>
      </c>
      <c r="D296" s="5" t="str" cm="1">
        <f t="array" aca="1" ref="D296" ca="1">INDEX({"Mumbai","Delhi","Bangalore","Ahmedabad","Chennai"}, RANDBETWEEN(1,5))</f>
        <v>Chennai</v>
      </c>
      <c r="E296" s="5" t="str" cm="1">
        <f t="array" aca="1" ref="E296" ca="1">INDEX({"Electronics","Groceries","Furniture","Clothing","Stationery"}, RANDBETWEEN(1,5))</f>
        <v>Stationery</v>
      </c>
      <c r="F296" s="5" t="str">
        <f t="shared" ca="1" si="21"/>
        <v>Shampoo</v>
      </c>
      <c r="G296" s="8">
        <f t="shared" ca="1" si="22"/>
        <v>90</v>
      </c>
      <c r="H296" s="10">
        <f t="shared" ca="1" si="23"/>
        <v>250</v>
      </c>
      <c r="I296" s="10">
        <f t="shared" ca="1" si="24"/>
        <v>22500</v>
      </c>
      <c r="J296" s="10">
        <f ca="1">Table2[[#This Row],[Unit Price]] * RANDBETWEEN(70,90)/100</f>
        <v>202.5</v>
      </c>
      <c r="K296" s="12">
        <f ca="1">(Table2[[#This Row],[Unit Price]] - Table2[[#This Row],[Cost per Unit]]) * Table2[[#This Row],[Units Sold]]</f>
        <v>4275</v>
      </c>
    </row>
    <row r="297" spans="1:11" ht="15.6" x14ac:dyDescent="0.3">
      <c r="A297" s="5" cm="1">
        <f t="array" ref="A297">1000 + ROW(297:297)</f>
        <v>1297</v>
      </c>
      <c r="B297" s="6">
        <f t="shared" ca="1" si="20"/>
        <v>45312</v>
      </c>
      <c r="C297" s="5" t="str" cm="1">
        <f t="array" aca="1" ref="C297" ca="1">INDEX({"S001","S002","S003","S004","S005"}, RANDBETWEEN(1,5))</f>
        <v>S002</v>
      </c>
      <c r="D297" s="5" t="str" cm="1">
        <f t="array" aca="1" ref="D297" ca="1">INDEX({"Mumbai","Delhi","Bangalore","Ahmedabad","Chennai"}, RANDBETWEEN(1,5))</f>
        <v>Mumbai</v>
      </c>
      <c r="E297" s="5" t="str" cm="1">
        <f t="array" aca="1" ref="E297" ca="1">INDEX({"Electronics","Groceries","Furniture","Clothing","Stationery"}, RANDBETWEEN(1,5))</f>
        <v>Stationery</v>
      </c>
      <c r="F297" s="5" t="str">
        <f t="shared" ca="1" si="21"/>
        <v>Office Chair</v>
      </c>
      <c r="G297" s="8">
        <f t="shared" ca="1" si="22"/>
        <v>39</v>
      </c>
      <c r="H297" s="10">
        <f t="shared" ca="1" si="23"/>
        <v>1200</v>
      </c>
      <c r="I297" s="10">
        <f t="shared" ca="1" si="24"/>
        <v>46800</v>
      </c>
      <c r="J297" s="10">
        <f ca="1">Table2[[#This Row],[Unit Price]] * RANDBETWEEN(70,90)/100</f>
        <v>1080</v>
      </c>
      <c r="K297" s="12">
        <f ca="1">(Table2[[#This Row],[Unit Price]] - Table2[[#This Row],[Cost per Unit]]) * Table2[[#This Row],[Units Sold]]</f>
        <v>4680</v>
      </c>
    </row>
    <row r="298" spans="1:11" ht="15.6" x14ac:dyDescent="0.3">
      <c r="A298" s="5" cm="1">
        <f t="array" ref="A298">1000 + ROW(298:298)</f>
        <v>1298</v>
      </c>
      <c r="B298" s="6">
        <f t="shared" ca="1" si="20"/>
        <v>45305</v>
      </c>
      <c r="C298" s="5" t="str" cm="1">
        <f t="array" aca="1" ref="C298" ca="1">INDEX({"S001","S002","S003","S004","S005"}, RANDBETWEEN(1,5))</f>
        <v>S002</v>
      </c>
      <c r="D298" s="5" t="str" cm="1">
        <f t="array" aca="1" ref="D298" ca="1">INDEX({"Mumbai","Delhi","Bangalore","Ahmedabad","Chennai"}, RANDBETWEEN(1,5))</f>
        <v>Delhi</v>
      </c>
      <c r="E298" s="5" t="str" cm="1">
        <f t="array" aca="1" ref="E298" ca="1">INDEX({"Electronics","Groceries","Furniture","Clothing","Stationery"}, RANDBETWEEN(1,5))</f>
        <v>Furniture</v>
      </c>
      <c r="F298" s="5" t="str">
        <f t="shared" ca="1" si="21"/>
        <v>Table</v>
      </c>
      <c r="G298" s="8">
        <f t="shared" ca="1" si="22"/>
        <v>53</v>
      </c>
      <c r="H298" s="10">
        <f t="shared" ca="1" si="23"/>
        <v>150</v>
      </c>
      <c r="I298" s="10">
        <f t="shared" ca="1" si="24"/>
        <v>7950</v>
      </c>
      <c r="J298" s="10">
        <f ca="1">Table2[[#This Row],[Unit Price]] * RANDBETWEEN(70,90)/100</f>
        <v>123</v>
      </c>
      <c r="K298" s="12">
        <f ca="1">(Table2[[#This Row],[Unit Price]] - Table2[[#This Row],[Cost per Unit]]) * Table2[[#This Row],[Units Sold]]</f>
        <v>1431</v>
      </c>
    </row>
    <row r="299" spans="1:11" ht="15.6" x14ac:dyDescent="0.3">
      <c r="A299" s="5" cm="1">
        <f t="array" ref="A299">1000 + ROW(299:299)</f>
        <v>1299</v>
      </c>
      <c r="B299" s="6">
        <f t="shared" ca="1" si="20"/>
        <v>45365</v>
      </c>
      <c r="C299" s="5" t="str" cm="1">
        <f t="array" aca="1" ref="C299" ca="1">INDEX({"S001","S002","S003","S004","S005"}, RANDBETWEEN(1,5))</f>
        <v>S002</v>
      </c>
      <c r="D299" s="5" t="str" cm="1">
        <f t="array" aca="1" ref="D299" ca="1">INDEX({"Mumbai","Delhi","Bangalore","Ahmedabad","Chennai"}, RANDBETWEEN(1,5))</f>
        <v>Delhi</v>
      </c>
      <c r="E299" s="5" t="str" cm="1">
        <f t="array" aca="1" ref="E299" ca="1">INDEX({"Electronics","Groceries","Furniture","Clothing","Stationery"}, RANDBETWEEN(1,5))</f>
        <v>Clothing</v>
      </c>
      <c r="F299" s="5" t="str">
        <f t="shared" ca="1" si="21"/>
        <v>Office Chair</v>
      </c>
      <c r="G299" s="8">
        <f t="shared" ca="1" si="22"/>
        <v>9</v>
      </c>
      <c r="H299" s="10">
        <f t="shared" ca="1" si="23"/>
        <v>300</v>
      </c>
      <c r="I299" s="10">
        <f t="shared" ca="1" si="24"/>
        <v>2700</v>
      </c>
      <c r="J299" s="10">
        <f ca="1">Table2[[#This Row],[Unit Price]] * RANDBETWEEN(70,90)/100</f>
        <v>228</v>
      </c>
      <c r="K299" s="12">
        <f ca="1">(Table2[[#This Row],[Unit Price]] - Table2[[#This Row],[Cost per Unit]]) * Table2[[#This Row],[Units Sold]]</f>
        <v>648</v>
      </c>
    </row>
    <row r="300" spans="1:11" ht="15.6" x14ac:dyDescent="0.3">
      <c r="A300" s="5" cm="1">
        <f t="array" ref="A300">1000 + ROW(300:300)</f>
        <v>1300</v>
      </c>
      <c r="B300" s="6">
        <f t="shared" ca="1" si="20"/>
        <v>45293</v>
      </c>
      <c r="C300" s="5" t="str" cm="1">
        <f t="array" aca="1" ref="C300" ca="1">INDEX({"S001","S002","S003","S004","S005"}, RANDBETWEEN(1,5))</f>
        <v>S004</v>
      </c>
      <c r="D300" s="5" t="str" cm="1">
        <f t="array" aca="1" ref="D300" ca="1">INDEX({"Mumbai","Delhi","Bangalore","Ahmedabad","Chennai"}, RANDBETWEEN(1,5))</f>
        <v>Bangalore</v>
      </c>
      <c r="E300" s="5" t="str" cm="1">
        <f t="array" aca="1" ref="E300" ca="1">INDEX({"Electronics","Groceries","Furniture","Clothing","Stationery"}, RANDBETWEEN(1,5))</f>
        <v>Furniture</v>
      </c>
      <c r="F300" s="5" t="str">
        <f t="shared" ca="1" si="21"/>
        <v>Smartphone</v>
      </c>
      <c r="G300" s="8">
        <f t="shared" ca="1" si="22"/>
        <v>87</v>
      </c>
      <c r="H300" s="10">
        <f t="shared" ca="1" si="23"/>
        <v>700</v>
      </c>
      <c r="I300" s="10">
        <f t="shared" ca="1" si="24"/>
        <v>60900</v>
      </c>
      <c r="J300" s="10">
        <f ca="1">Table2[[#This Row],[Unit Price]] * RANDBETWEEN(70,90)/100</f>
        <v>504</v>
      </c>
      <c r="K300" s="12">
        <f ca="1">(Table2[[#This Row],[Unit Price]] - Table2[[#This Row],[Cost per Unit]]) * Table2[[#This Row],[Units Sold]]</f>
        <v>17052</v>
      </c>
    </row>
    <row r="301" spans="1:11" ht="15.6" x14ac:dyDescent="0.3">
      <c r="A301" s="5" cm="1">
        <f t="array" ref="A301">1000 + ROW(301:301)</f>
        <v>1301</v>
      </c>
      <c r="B301" s="6">
        <f t="shared" ca="1" si="20"/>
        <v>45378</v>
      </c>
      <c r="C301" s="5" t="str" cm="1">
        <f t="array" aca="1" ref="C301" ca="1">INDEX({"S001","S002","S003","S004","S005"}, RANDBETWEEN(1,5))</f>
        <v>S001</v>
      </c>
      <c r="D301" s="5" t="str" cm="1">
        <f t="array" aca="1" ref="D301" ca="1">INDEX({"Mumbai","Delhi","Bangalore","Ahmedabad","Chennai"}, RANDBETWEEN(1,5))</f>
        <v>Ahmedabad</v>
      </c>
      <c r="E301" s="5" t="str" cm="1">
        <f t="array" aca="1" ref="E301" ca="1">INDEX({"Electronics","Groceries","Furniture","Clothing","Stationery"}, RANDBETWEEN(1,5))</f>
        <v>Furniture</v>
      </c>
      <c r="F301" s="5" t="str">
        <f t="shared" ca="1" si="21"/>
        <v>Notebook</v>
      </c>
      <c r="G301" s="8">
        <f t="shared" ca="1" si="22"/>
        <v>29</v>
      </c>
      <c r="H301" s="10">
        <f t="shared" ca="1" si="23"/>
        <v>15000</v>
      </c>
      <c r="I301" s="10">
        <f t="shared" ca="1" si="24"/>
        <v>435000</v>
      </c>
      <c r="J301" s="10">
        <f ca="1">Table2[[#This Row],[Unit Price]] * RANDBETWEEN(70,90)/100</f>
        <v>10500</v>
      </c>
      <c r="K301" s="12">
        <f ca="1">(Table2[[#This Row],[Unit Price]] - Table2[[#This Row],[Cost per Unit]]) * Table2[[#This Row],[Units Sold]]</f>
        <v>130500</v>
      </c>
    </row>
    <row r="302" spans="1:11" ht="15.6" x14ac:dyDescent="0.3">
      <c r="A302" s="5" cm="1">
        <f t="array" ref="A302">1000 + ROW(302:302)</f>
        <v>1302</v>
      </c>
      <c r="B302" s="6">
        <f t="shared" ca="1" si="20"/>
        <v>45342</v>
      </c>
      <c r="C302" s="5" t="str" cm="1">
        <f t="array" aca="1" ref="C302" ca="1">INDEX({"S001","S002","S003","S004","S005"}, RANDBETWEEN(1,5))</f>
        <v>S003</v>
      </c>
      <c r="D302" s="5" t="str" cm="1">
        <f t="array" aca="1" ref="D302" ca="1">INDEX({"Mumbai","Delhi","Bangalore","Ahmedabad","Chennai"}, RANDBETWEEN(1,5))</f>
        <v>Bangalore</v>
      </c>
      <c r="E302" s="5" t="str" cm="1">
        <f t="array" aca="1" ref="E302" ca="1">INDEX({"Electronics","Groceries","Furniture","Clothing","Stationery"}, RANDBETWEEN(1,5))</f>
        <v>Clothing</v>
      </c>
      <c r="F302" s="5" t="str">
        <f t="shared" ca="1" si="21"/>
        <v>Desk Lamp</v>
      </c>
      <c r="G302" s="8">
        <f t="shared" ca="1" si="22"/>
        <v>48</v>
      </c>
      <c r="H302" s="10">
        <f t="shared" ca="1" si="23"/>
        <v>700</v>
      </c>
      <c r="I302" s="10">
        <f t="shared" ca="1" si="24"/>
        <v>33600</v>
      </c>
      <c r="J302" s="10">
        <f ca="1">Table2[[#This Row],[Unit Price]] * RANDBETWEEN(70,90)/100</f>
        <v>497</v>
      </c>
      <c r="K302" s="12">
        <f ca="1">(Table2[[#This Row],[Unit Price]] - Table2[[#This Row],[Cost per Unit]]) * Table2[[#This Row],[Units Sold]]</f>
        <v>9744</v>
      </c>
    </row>
    <row r="303" spans="1:11" ht="15.6" x14ac:dyDescent="0.3">
      <c r="A303" s="5" cm="1">
        <f t="array" ref="A303">1000 + ROW(303:303)</f>
        <v>1303</v>
      </c>
      <c r="B303" s="6">
        <f t="shared" ca="1" si="20"/>
        <v>45324</v>
      </c>
      <c r="C303" s="5" t="str" cm="1">
        <f t="array" aca="1" ref="C303" ca="1">INDEX({"S001","S002","S003","S004","S005"}, RANDBETWEEN(1,5))</f>
        <v>S003</v>
      </c>
      <c r="D303" s="5" t="str" cm="1">
        <f t="array" aca="1" ref="D303" ca="1">INDEX({"Mumbai","Delhi","Bangalore","Ahmedabad","Chennai"}, RANDBETWEEN(1,5))</f>
        <v>Bangalore</v>
      </c>
      <c r="E303" s="5" t="str" cm="1">
        <f t="array" aca="1" ref="E303" ca="1">INDEX({"Electronics","Groceries","Furniture","Clothing","Stationery"}, RANDBETWEEN(1,5))</f>
        <v>Stationery</v>
      </c>
      <c r="F303" s="5" t="str">
        <f t="shared" ca="1" si="21"/>
        <v>Smartphone</v>
      </c>
      <c r="G303" s="8">
        <f t="shared" ca="1" si="22"/>
        <v>87</v>
      </c>
      <c r="H303" s="10">
        <f t="shared" ca="1" si="23"/>
        <v>900</v>
      </c>
      <c r="I303" s="10">
        <f t="shared" ca="1" si="24"/>
        <v>78300</v>
      </c>
      <c r="J303" s="10">
        <f ca="1">Table2[[#This Row],[Unit Price]] * RANDBETWEEN(70,90)/100</f>
        <v>711</v>
      </c>
      <c r="K303" s="12">
        <f ca="1">(Table2[[#This Row],[Unit Price]] - Table2[[#This Row],[Cost per Unit]]) * Table2[[#This Row],[Units Sold]]</f>
        <v>16443</v>
      </c>
    </row>
    <row r="304" spans="1:11" ht="15.6" x14ac:dyDescent="0.3">
      <c r="A304" s="5" cm="1">
        <f t="array" ref="A304">1000 + ROW(304:304)</f>
        <v>1304</v>
      </c>
      <c r="B304" s="6">
        <f t="shared" ca="1" si="20"/>
        <v>45379</v>
      </c>
      <c r="C304" s="5" t="str" cm="1">
        <f t="array" aca="1" ref="C304" ca="1">INDEX({"S001","S002","S003","S004","S005"}, RANDBETWEEN(1,5))</f>
        <v>S002</v>
      </c>
      <c r="D304" s="5" t="str" cm="1">
        <f t="array" aca="1" ref="D304" ca="1">INDEX({"Mumbai","Delhi","Bangalore","Ahmedabad","Chennai"}, RANDBETWEEN(1,5))</f>
        <v>Ahmedabad</v>
      </c>
      <c r="E304" s="5" t="str" cm="1">
        <f t="array" aca="1" ref="E304" ca="1">INDEX({"Electronics","Groceries","Furniture","Clothing","Stationery"}, RANDBETWEEN(1,5))</f>
        <v>Groceries</v>
      </c>
      <c r="F304" s="5" t="str">
        <f t="shared" ca="1" si="21"/>
        <v>T-shirt</v>
      </c>
      <c r="G304" s="8">
        <f t="shared" ca="1" si="22"/>
        <v>79</v>
      </c>
      <c r="H304" s="10">
        <f t="shared" ca="1" si="23"/>
        <v>900</v>
      </c>
      <c r="I304" s="10">
        <f t="shared" ca="1" si="24"/>
        <v>71100</v>
      </c>
      <c r="J304" s="10">
        <f ca="1">Table2[[#This Row],[Unit Price]] * RANDBETWEEN(70,90)/100</f>
        <v>783</v>
      </c>
      <c r="K304" s="12">
        <f ca="1">(Table2[[#This Row],[Unit Price]] - Table2[[#This Row],[Cost per Unit]]) * Table2[[#This Row],[Units Sold]]</f>
        <v>9243</v>
      </c>
    </row>
    <row r="305" spans="1:11" ht="15.6" x14ac:dyDescent="0.3">
      <c r="A305" s="5" cm="1">
        <f t="array" ref="A305">1000 + ROW(305:305)</f>
        <v>1305</v>
      </c>
      <c r="B305" s="6">
        <f t="shared" ca="1" si="20"/>
        <v>45328</v>
      </c>
      <c r="C305" s="5" t="str" cm="1">
        <f t="array" aca="1" ref="C305" ca="1">INDEX({"S001","S002","S003","S004","S005"}, RANDBETWEEN(1,5))</f>
        <v>S001</v>
      </c>
      <c r="D305" s="5" t="str" cm="1">
        <f t="array" aca="1" ref="D305" ca="1">INDEX({"Mumbai","Delhi","Bangalore","Ahmedabad","Chennai"}, RANDBETWEEN(1,5))</f>
        <v>Mumbai</v>
      </c>
      <c r="E305" s="5" t="str" cm="1">
        <f t="array" aca="1" ref="E305" ca="1">INDEX({"Electronics","Groceries","Furniture","Clothing","Stationery"}, RANDBETWEEN(1,5))</f>
        <v>Stationery</v>
      </c>
      <c r="F305" s="5" t="str">
        <f t="shared" ca="1" si="21"/>
        <v>Office Chair</v>
      </c>
      <c r="G305" s="8">
        <f t="shared" ca="1" si="22"/>
        <v>1</v>
      </c>
      <c r="H305" s="10">
        <f t="shared" ca="1" si="23"/>
        <v>500</v>
      </c>
      <c r="I305" s="10">
        <f t="shared" ca="1" si="24"/>
        <v>500</v>
      </c>
      <c r="J305" s="10">
        <f ca="1">Table2[[#This Row],[Unit Price]] * RANDBETWEEN(70,90)/100</f>
        <v>390</v>
      </c>
      <c r="K305" s="12">
        <f ca="1">(Table2[[#This Row],[Unit Price]] - Table2[[#This Row],[Cost per Unit]]) * Table2[[#This Row],[Units Sold]]</f>
        <v>110</v>
      </c>
    </row>
    <row r="306" spans="1:11" ht="15.6" x14ac:dyDescent="0.3">
      <c r="A306" s="5" cm="1">
        <f t="array" ref="A306">1000 + ROW(306:306)</f>
        <v>1306</v>
      </c>
      <c r="B306" s="6">
        <f t="shared" ca="1" si="20"/>
        <v>45298</v>
      </c>
      <c r="C306" s="5" t="str" cm="1">
        <f t="array" aca="1" ref="C306" ca="1">INDEX({"S001","S002","S003","S004","S005"}, RANDBETWEEN(1,5))</f>
        <v>S005</v>
      </c>
      <c r="D306" s="5" t="str" cm="1">
        <f t="array" aca="1" ref="D306" ca="1">INDEX({"Mumbai","Delhi","Bangalore","Ahmedabad","Chennai"}, RANDBETWEEN(1,5))</f>
        <v>Bangalore</v>
      </c>
      <c r="E306" s="5" t="str" cm="1">
        <f t="array" aca="1" ref="E306" ca="1">INDEX({"Electronics","Groceries","Furniture","Clothing","Stationery"}, RANDBETWEEN(1,5))</f>
        <v>Clothing</v>
      </c>
      <c r="F306" s="5" t="str">
        <f t="shared" ca="1" si="21"/>
        <v>Office Chair</v>
      </c>
      <c r="G306" s="8">
        <f t="shared" ca="1" si="22"/>
        <v>89</v>
      </c>
      <c r="H306" s="10">
        <f t="shared" ca="1" si="23"/>
        <v>500</v>
      </c>
      <c r="I306" s="10">
        <f t="shared" ca="1" si="24"/>
        <v>44500</v>
      </c>
      <c r="J306" s="10">
        <f ca="1">Table2[[#This Row],[Unit Price]] * RANDBETWEEN(70,90)/100</f>
        <v>360</v>
      </c>
      <c r="K306" s="12">
        <f ca="1">(Table2[[#This Row],[Unit Price]] - Table2[[#This Row],[Cost per Unit]]) * Table2[[#This Row],[Units Sold]]</f>
        <v>12460</v>
      </c>
    </row>
    <row r="307" spans="1:11" ht="15.6" x14ac:dyDescent="0.3">
      <c r="A307" s="5" cm="1">
        <f t="array" ref="A307">1000 + ROW(307:307)</f>
        <v>1307</v>
      </c>
      <c r="B307" s="6">
        <f t="shared" ca="1" si="20"/>
        <v>45294</v>
      </c>
      <c r="C307" s="5" t="str" cm="1">
        <f t="array" aca="1" ref="C307" ca="1">INDEX({"S001","S002","S003","S004","S005"}, RANDBETWEEN(1,5))</f>
        <v>S004</v>
      </c>
      <c r="D307" s="5" t="str" cm="1">
        <f t="array" aca="1" ref="D307" ca="1">INDEX({"Mumbai","Delhi","Bangalore","Ahmedabad","Chennai"}, RANDBETWEEN(1,5))</f>
        <v>Delhi</v>
      </c>
      <c r="E307" s="5" t="str" cm="1">
        <f t="array" aca="1" ref="E307" ca="1">INDEX({"Electronics","Groceries","Furniture","Clothing","Stationery"}, RANDBETWEEN(1,5))</f>
        <v>Furniture</v>
      </c>
      <c r="F307" s="5" t="str">
        <f t="shared" ca="1" si="21"/>
        <v>Shampoo</v>
      </c>
      <c r="G307" s="8">
        <f t="shared" ca="1" si="22"/>
        <v>39</v>
      </c>
      <c r="H307" s="10">
        <f t="shared" ca="1" si="23"/>
        <v>900</v>
      </c>
      <c r="I307" s="10">
        <f t="shared" ca="1" si="24"/>
        <v>35100</v>
      </c>
      <c r="J307" s="10">
        <f ca="1">Table2[[#This Row],[Unit Price]] * RANDBETWEEN(70,90)/100</f>
        <v>675</v>
      </c>
      <c r="K307" s="12">
        <f ca="1">(Table2[[#This Row],[Unit Price]] - Table2[[#This Row],[Cost per Unit]]) * Table2[[#This Row],[Units Sold]]</f>
        <v>8775</v>
      </c>
    </row>
    <row r="308" spans="1:11" ht="15.6" x14ac:dyDescent="0.3">
      <c r="A308" s="5" cm="1">
        <f t="array" ref="A308">1000 + ROW(308:308)</f>
        <v>1308</v>
      </c>
      <c r="B308" s="6">
        <f t="shared" ca="1" si="20"/>
        <v>45373</v>
      </c>
      <c r="C308" s="5" t="str" cm="1">
        <f t="array" aca="1" ref="C308" ca="1">INDEX({"S001","S002","S003","S004","S005"}, RANDBETWEEN(1,5))</f>
        <v>S001</v>
      </c>
      <c r="D308" s="5" t="str" cm="1">
        <f t="array" aca="1" ref="D308" ca="1">INDEX({"Mumbai","Delhi","Bangalore","Ahmedabad","Chennai"}, RANDBETWEEN(1,5))</f>
        <v>Bangalore</v>
      </c>
      <c r="E308" s="5" t="str" cm="1">
        <f t="array" aca="1" ref="E308" ca="1">INDEX({"Electronics","Groceries","Furniture","Clothing","Stationery"}, RANDBETWEEN(1,5))</f>
        <v>Groceries</v>
      </c>
      <c r="F308" s="5" t="str">
        <f t="shared" ca="1" si="21"/>
        <v>Smartphone</v>
      </c>
      <c r="G308" s="8">
        <f t="shared" ca="1" si="22"/>
        <v>51</v>
      </c>
      <c r="H308" s="10">
        <f t="shared" ca="1" si="23"/>
        <v>1200</v>
      </c>
      <c r="I308" s="10">
        <f t="shared" ca="1" si="24"/>
        <v>61200</v>
      </c>
      <c r="J308" s="10">
        <f ca="1">Table2[[#This Row],[Unit Price]] * RANDBETWEEN(70,90)/100</f>
        <v>1080</v>
      </c>
      <c r="K308" s="12">
        <f ca="1">(Table2[[#This Row],[Unit Price]] - Table2[[#This Row],[Cost per Unit]]) * Table2[[#This Row],[Units Sold]]</f>
        <v>6120</v>
      </c>
    </row>
    <row r="309" spans="1:11" ht="15.6" x14ac:dyDescent="0.3">
      <c r="A309" s="5" cm="1">
        <f t="array" ref="A309">1000 + ROW(309:309)</f>
        <v>1309</v>
      </c>
      <c r="B309" s="6">
        <f t="shared" ca="1" si="20"/>
        <v>45324</v>
      </c>
      <c r="C309" s="5" t="str" cm="1">
        <f t="array" aca="1" ref="C309" ca="1">INDEX({"S001","S002","S003","S004","S005"}, RANDBETWEEN(1,5))</f>
        <v>S005</v>
      </c>
      <c r="D309" s="5" t="str" cm="1">
        <f t="array" aca="1" ref="D309" ca="1">INDEX({"Mumbai","Delhi","Bangalore","Ahmedabad","Chennai"}, RANDBETWEEN(1,5))</f>
        <v>Mumbai</v>
      </c>
      <c r="E309" s="5" t="str" cm="1">
        <f t="array" aca="1" ref="E309" ca="1">INDEX({"Electronics","Groceries","Furniture","Clothing","Stationery"}, RANDBETWEEN(1,5))</f>
        <v>Electronics</v>
      </c>
      <c r="F309" s="5" t="str">
        <f t="shared" ca="1" si="21"/>
        <v>Office Chair</v>
      </c>
      <c r="G309" s="8">
        <f t="shared" ca="1" si="22"/>
        <v>39</v>
      </c>
      <c r="H309" s="10">
        <f t="shared" ca="1" si="23"/>
        <v>1200</v>
      </c>
      <c r="I309" s="10">
        <f t="shared" ca="1" si="24"/>
        <v>46800</v>
      </c>
      <c r="J309" s="10">
        <f ca="1">Table2[[#This Row],[Unit Price]] * RANDBETWEEN(70,90)/100</f>
        <v>996</v>
      </c>
      <c r="K309" s="12">
        <f ca="1">(Table2[[#This Row],[Unit Price]] - Table2[[#This Row],[Cost per Unit]]) * Table2[[#This Row],[Units Sold]]</f>
        <v>7956</v>
      </c>
    </row>
    <row r="310" spans="1:11" ht="15.6" x14ac:dyDescent="0.3">
      <c r="A310" s="5" cm="1">
        <f t="array" ref="A310">1000 + ROW(310:310)</f>
        <v>1310</v>
      </c>
      <c r="B310" s="6">
        <f t="shared" ca="1" si="20"/>
        <v>45373</v>
      </c>
      <c r="C310" s="5" t="str" cm="1">
        <f t="array" aca="1" ref="C310" ca="1">INDEX({"S001","S002","S003","S004","S005"}, RANDBETWEEN(1,5))</f>
        <v>S002</v>
      </c>
      <c r="D310" s="5" t="str" cm="1">
        <f t="array" aca="1" ref="D310" ca="1">INDEX({"Mumbai","Delhi","Bangalore","Ahmedabad","Chennai"}, RANDBETWEEN(1,5))</f>
        <v>Bangalore</v>
      </c>
      <c r="E310" s="5" t="str" cm="1">
        <f t="array" aca="1" ref="E310" ca="1">INDEX({"Electronics","Groceries","Furniture","Clothing","Stationery"}, RANDBETWEEN(1,5))</f>
        <v>Stationery</v>
      </c>
      <c r="F310" s="5" t="str">
        <f t="shared" ca="1" si="21"/>
        <v>Smartphone</v>
      </c>
      <c r="G310" s="8">
        <f t="shared" ca="1" si="22"/>
        <v>29</v>
      </c>
      <c r="H310" s="10">
        <f t="shared" ca="1" si="23"/>
        <v>700</v>
      </c>
      <c r="I310" s="10">
        <f t="shared" ca="1" si="24"/>
        <v>20300</v>
      </c>
      <c r="J310" s="10">
        <f ca="1">Table2[[#This Row],[Unit Price]] * RANDBETWEEN(70,90)/100</f>
        <v>511</v>
      </c>
      <c r="K310" s="12">
        <f ca="1">(Table2[[#This Row],[Unit Price]] - Table2[[#This Row],[Cost per Unit]]) * Table2[[#This Row],[Units Sold]]</f>
        <v>5481</v>
      </c>
    </row>
    <row r="311" spans="1:11" ht="15.6" x14ac:dyDescent="0.3">
      <c r="A311" s="5" cm="1">
        <f t="array" ref="A311">1000 + ROW(311:311)</f>
        <v>1311</v>
      </c>
      <c r="B311" s="6">
        <f t="shared" ca="1" si="20"/>
        <v>45378</v>
      </c>
      <c r="C311" s="5" t="str" cm="1">
        <f t="array" aca="1" ref="C311" ca="1">INDEX({"S001","S002","S003","S004","S005"}, RANDBETWEEN(1,5))</f>
        <v>S002</v>
      </c>
      <c r="D311" s="5" t="str" cm="1">
        <f t="array" aca="1" ref="D311" ca="1">INDEX({"Mumbai","Delhi","Bangalore","Ahmedabad","Chennai"}, RANDBETWEEN(1,5))</f>
        <v>Ahmedabad</v>
      </c>
      <c r="E311" s="5" t="str" cm="1">
        <f t="array" aca="1" ref="E311" ca="1">INDEX({"Electronics","Groceries","Furniture","Clothing","Stationery"}, RANDBETWEEN(1,5))</f>
        <v>Clothing</v>
      </c>
      <c r="F311" s="5" t="str">
        <f t="shared" ca="1" si="21"/>
        <v>Laptop</v>
      </c>
      <c r="G311" s="8">
        <f t="shared" ca="1" si="22"/>
        <v>61</v>
      </c>
      <c r="H311" s="10">
        <f t="shared" ca="1" si="23"/>
        <v>900</v>
      </c>
      <c r="I311" s="10">
        <f t="shared" ca="1" si="24"/>
        <v>54900</v>
      </c>
      <c r="J311" s="10">
        <f ca="1">Table2[[#This Row],[Unit Price]] * RANDBETWEEN(70,90)/100</f>
        <v>810</v>
      </c>
      <c r="K311" s="12">
        <f ca="1">(Table2[[#This Row],[Unit Price]] - Table2[[#This Row],[Cost per Unit]]) * Table2[[#This Row],[Units Sold]]</f>
        <v>5490</v>
      </c>
    </row>
    <row r="312" spans="1:11" ht="15.6" x14ac:dyDescent="0.3">
      <c r="A312" s="5" cm="1">
        <f t="array" ref="A312">1000 + ROW(312:312)</f>
        <v>1312</v>
      </c>
      <c r="B312" s="6">
        <f t="shared" ca="1" si="20"/>
        <v>45319</v>
      </c>
      <c r="C312" s="5" t="str" cm="1">
        <f t="array" aca="1" ref="C312" ca="1">INDEX({"S001","S002","S003","S004","S005"}, RANDBETWEEN(1,5))</f>
        <v>S003</v>
      </c>
      <c r="D312" s="5" t="str" cm="1">
        <f t="array" aca="1" ref="D312" ca="1">INDEX({"Mumbai","Delhi","Bangalore","Ahmedabad","Chennai"}, RANDBETWEEN(1,5))</f>
        <v>Ahmedabad</v>
      </c>
      <c r="E312" s="5" t="str" cm="1">
        <f t="array" aca="1" ref="E312" ca="1">INDEX({"Electronics","Groceries","Furniture","Clothing","Stationery"}, RANDBETWEEN(1,5))</f>
        <v>Electronics</v>
      </c>
      <c r="F312" s="5" t="str">
        <f t="shared" ca="1" si="21"/>
        <v>T-shirt</v>
      </c>
      <c r="G312" s="8">
        <f t="shared" ca="1" si="22"/>
        <v>77</v>
      </c>
      <c r="H312" s="10">
        <f t="shared" ca="1" si="23"/>
        <v>1200</v>
      </c>
      <c r="I312" s="10">
        <f t="shared" ca="1" si="24"/>
        <v>92400</v>
      </c>
      <c r="J312" s="10">
        <f ca="1">Table2[[#This Row],[Unit Price]] * RANDBETWEEN(70,90)/100</f>
        <v>960</v>
      </c>
      <c r="K312" s="12">
        <f ca="1">(Table2[[#This Row],[Unit Price]] - Table2[[#This Row],[Cost per Unit]]) * Table2[[#This Row],[Units Sold]]</f>
        <v>18480</v>
      </c>
    </row>
    <row r="313" spans="1:11" ht="15.6" x14ac:dyDescent="0.3">
      <c r="A313" s="5" cm="1">
        <f t="array" ref="A313">1000 + ROW(313:313)</f>
        <v>1313</v>
      </c>
      <c r="B313" s="6">
        <f t="shared" ca="1" si="20"/>
        <v>45379</v>
      </c>
      <c r="C313" s="5" t="str" cm="1">
        <f t="array" aca="1" ref="C313" ca="1">INDEX({"S001","S002","S003","S004","S005"}, RANDBETWEEN(1,5))</f>
        <v>S001</v>
      </c>
      <c r="D313" s="5" t="str" cm="1">
        <f t="array" aca="1" ref="D313" ca="1">INDEX({"Mumbai","Delhi","Bangalore","Ahmedabad","Chennai"}, RANDBETWEEN(1,5))</f>
        <v>Bangalore</v>
      </c>
      <c r="E313" s="5" t="str" cm="1">
        <f t="array" aca="1" ref="E313" ca="1">INDEX({"Electronics","Groceries","Furniture","Clothing","Stationery"}, RANDBETWEEN(1,5))</f>
        <v>Electronics</v>
      </c>
      <c r="F313" s="5" t="str">
        <f t="shared" ca="1" si="21"/>
        <v>Office Chair</v>
      </c>
      <c r="G313" s="8">
        <f t="shared" ca="1" si="22"/>
        <v>8</v>
      </c>
      <c r="H313" s="10">
        <f t="shared" ca="1" si="23"/>
        <v>300</v>
      </c>
      <c r="I313" s="10">
        <f t="shared" ca="1" si="24"/>
        <v>2400</v>
      </c>
      <c r="J313" s="10">
        <f ca="1">Table2[[#This Row],[Unit Price]] * RANDBETWEEN(70,90)/100</f>
        <v>219</v>
      </c>
      <c r="K313" s="12">
        <f ca="1">(Table2[[#This Row],[Unit Price]] - Table2[[#This Row],[Cost per Unit]]) * Table2[[#This Row],[Units Sold]]</f>
        <v>648</v>
      </c>
    </row>
    <row r="314" spans="1:11" ht="15.6" x14ac:dyDescent="0.3">
      <c r="A314" s="5" cm="1">
        <f t="array" ref="A314">1000 + ROW(314:314)</f>
        <v>1314</v>
      </c>
      <c r="B314" s="6">
        <f t="shared" ca="1" si="20"/>
        <v>45311</v>
      </c>
      <c r="C314" s="5" t="str" cm="1">
        <f t="array" aca="1" ref="C314" ca="1">INDEX({"S001","S002","S003","S004","S005"}, RANDBETWEEN(1,5))</f>
        <v>S002</v>
      </c>
      <c r="D314" s="5" t="str" cm="1">
        <f t="array" aca="1" ref="D314" ca="1">INDEX({"Mumbai","Delhi","Bangalore","Ahmedabad","Chennai"}, RANDBETWEEN(1,5))</f>
        <v>Bangalore</v>
      </c>
      <c r="E314" s="5" t="str" cm="1">
        <f t="array" aca="1" ref="E314" ca="1">INDEX({"Electronics","Groceries","Furniture","Clothing","Stationery"}, RANDBETWEEN(1,5))</f>
        <v>Furniture</v>
      </c>
      <c r="F314" s="5" t="str">
        <f t="shared" ca="1" si="21"/>
        <v>Table</v>
      </c>
      <c r="G314" s="8">
        <f t="shared" ca="1" si="22"/>
        <v>58</v>
      </c>
      <c r="H314" s="10">
        <f t="shared" ca="1" si="23"/>
        <v>150</v>
      </c>
      <c r="I314" s="10">
        <f t="shared" ca="1" si="24"/>
        <v>8700</v>
      </c>
      <c r="J314" s="10">
        <f ca="1">Table2[[#This Row],[Unit Price]] * RANDBETWEEN(70,90)/100</f>
        <v>111</v>
      </c>
      <c r="K314" s="12">
        <f ca="1">(Table2[[#This Row],[Unit Price]] - Table2[[#This Row],[Cost per Unit]]) * Table2[[#This Row],[Units Sold]]</f>
        <v>2262</v>
      </c>
    </row>
    <row r="315" spans="1:11" ht="15.6" x14ac:dyDescent="0.3">
      <c r="A315" s="5" cm="1">
        <f t="array" ref="A315">1000 + ROW(315:315)</f>
        <v>1315</v>
      </c>
      <c r="B315" s="6">
        <f t="shared" ca="1" si="20"/>
        <v>45366</v>
      </c>
      <c r="C315" s="5" t="str" cm="1">
        <f t="array" aca="1" ref="C315" ca="1">INDEX({"S001","S002","S003","S004","S005"}, RANDBETWEEN(1,5))</f>
        <v>S002</v>
      </c>
      <c r="D315" s="5" t="str" cm="1">
        <f t="array" aca="1" ref="D315" ca="1">INDEX({"Mumbai","Delhi","Bangalore","Ahmedabad","Chennai"}, RANDBETWEEN(1,5))</f>
        <v>Ahmedabad</v>
      </c>
      <c r="E315" s="5" t="str" cm="1">
        <f t="array" aca="1" ref="E315" ca="1">INDEX({"Electronics","Groceries","Furniture","Clothing","Stationery"}, RANDBETWEEN(1,5))</f>
        <v>Furniture</v>
      </c>
      <c r="F315" s="5" t="str">
        <f t="shared" ca="1" si="21"/>
        <v>Notebook</v>
      </c>
      <c r="G315" s="8">
        <f t="shared" ca="1" si="22"/>
        <v>74</v>
      </c>
      <c r="H315" s="10">
        <f t="shared" ca="1" si="23"/>
        <v>300</v>
      </c>
      <c r="I315" s="10">
        <f t="shared" ca="1" si="24"/>
        <v>22200</v>
      </c>
      <c r="J315" s="10">
        <f ca="1">Table2[[#This Row],[Unit Price]] * RANDBETWEEN(70,90)/100</f>
        <v>243</v>
      </c>
      <c r="K315" s="12">
        <f ca="1">(Table2[[#This Row],[Unit Price]] - Table2[[#This Row],[Cost per Unit]]) * Table2[[#This Row],[Units Sold]]</f>
        <v>4218</v>
      </c>
    </row>
    <row r="316" spans="1:11" ht="15.6" x14ac:dyDescent="0.3">
      <c r="A316" s="5" cm="1">
        <f t="array" ref="A316">1000 + ROW(316:316)</f>
        <v>1316</v>
      </c>
      <c r="B316" s="6">
        <f t="shared" ca="1" si="20"/>
        <v>45359</v>
      </c>
      <c r="C316" s="5" t="str" cm="1">
        <f t="array" aca="1" ref="C316" ca="1">INDEX({"S001","S002","S003","S004","S005"}, RANDBETWEEN(1,5))</f>
        <v>S003</v>
      </c>
      <c r="D316" s="5" t="str" cm="1">
        <f t="array" aca="1" ref="D316" ca="1">INDEX({"Mumbai","Delhi","Bangalore","Ahmedabad","Chennai"}, RANDBETWEEN(1,5))</f>
        <v>Chennai</v>
      </c>
      <c r="E316" s="5" t="str" cm="1">
        <f t="array" aca="1" ref="E316" ca="1">INDEX({"Electronics","Groceries","Furniture","Clothing","Stationery"}, RANDBETWEEN(1,5))</f>
        <v>Clothing</v>
      </c>
      <c r="F316" s="5" t="str">
        <f t="shared" ca="1" si="21"/>
        <v>Table</v>
      </c>
      <c r="G316" s="8">
        <f t="shared" ca="1" si="22"/>
        <v>29</v>
      </c>
      <c r="H316" s="10">
        <f t="shared" ca="1" si="23"/>
        <v>50</v>
      </c>
      <c r="I316" s="10">
        <f t="shared" ca="1" si="24"/>
        <v>1450</v>
      </c>
      <c r="J316" s="10">
        <f ca="1">Table2[[#This Row],[Unit Price]] * RANDBETWEEN(70,90)/100</f>
        <v>41</v>
      </c>
      <c r="K316" s="12">
        <f ca="1">(Table2[[#This Row],[Unit Price]] - Table2[[#This Row],[Cost per Unit]]) * Table2[[#This Row],[Units Sold]]</f>
        <v>261</v>
      </c>
    </row>
    <row r="317" spans="1:11" ht="15.6" x14ac:dyDescent="0.3">
      <c r="A317" s="5" cm="1">
        <f t="array" ref="A317">1000 + ROW(317:317)</f>
        <v>1317</v>
      </c>
      <c r="B317" s="6">
        <f t="shared" ca="1" si="20"/>
        <v>45379</v>
      </c>
      <c r="C317" s="5" t="str" cm="1">
        <f t="array" aca="1" ref="C317" ca="1">INDEX({"S001","S002","S003","S004","S005"}, RANDBETWEEN(1,5))</f>
        <v>S001</v>
      </c>
      <c r="D317" s="5" t="str" cm="1">
        <f t="array" aca="1" ref="D317" ca="1">INDEX({"Mumbai","Delhi","Bangalore","Ahmedabad","Chennai"}, RANDBETWEEN(1,5))</f>
        <v>Delhi</v>
      </c>
      <c r="E317" s="5" t="str" cm="1">
        <f t="array" aca="1" ref="E317" ca="1">INDEX({"Electronics","Groceries","Furniture","Clothing","Stationery"}, RANDBETWEEN(1,5))</f>
        <v>Electronics</v>
      </c>
      <c r="F317" s="5" t="str">
        <f t="shared" ca="1" si="21"/>
        <v>Desk Lamp</v>
      </c>
      <c r="G317" s="8">
        <f t="shared" ca="1" si="22"/>
        <v>29</v>
      </c>
      <c r="H317" s="10">
        <f t="shared" ca="1" si="23"/>
        <v>700</v>
      </c>
      <c r="I317" s="10">
        <f t="shared" ca="1" si="24"/>
        <v>20300</v>
      </c>
      <c r="J317" s="10">
        <f ca="1">Table2[[#This Row],[Unit Price]] * RANDBETWEEN(70,90)/100</f>
        <v>490</v>
      </c>
      <c r="K317" s="12">
        <f ca="1">(Table2[[#This Row],[Unit Price]] - Table2[[#This Row],[Cost per Unit]]) * Table2[[#This Row],[Units Sold]]</f>
        <v>6090</v>
      </c>
    </row>
    <row r="318" spans="1:11" ht="15.6" x14ac:dyDescent="0.3">
      <c r="A318" s="5" cm="1">
        <f t="array" ref="A318">1000 + ROW(318:318)</f>
        <v>1318</v>
      </c>
      <c r="B318" s="6">
        <f t="shared" ca="1" si="20"/>
        <v>45378</v>
      </c>
      <c r="C318" s="5" t="str" cm="1">
        <f t="array" aca="1" ref="C318" ca="1">INDEX({"S001","S002","S003","S004","S005"}, RANDBETWEEN(1,5))</f>
        <v>S005</v>
      </c>
      <c r="D318" s="5" t="str" cm="1">
        <f t="array" aca="1" ref="D318" ca="1">INDEX({"Mumbai","Delhi","Bangalore","Ahmedabad","Chennai"}, RANDBETWEEN(1,5))</f>
        <v>Chennai</v>
      </c>
      <c r="E318" s="5" t="str" cm="1">
        <f t="array" aca="1" ref="E318" ca="1">INDEX({"Electronics","Groceries","Furniture","Clothing","Stationery"}, RANDBETWEEN(1,5))</f>
        <v>Furniture</v>
      </c>
      <c r="F318" s="5" t="str">
        <f t="shared" ca="1" si="21"/>
        <v>T-shirt</v>
      </c>
      <c r="G318" s="8">
        <f t="shared" ca="1" si="22"/>
        <v>62</v>
      </c>
      <c r="H318" s="10">
        <f t="shared" ca="1" si="23"/>
        <v>250</v>
      </c>
      <c r="I318" s="10">
        <f t="shared" ca="1" si="24"/>
        <v>15500</v>
      </c>
      <c r="J318" s="10">
        <f ca="1">Table2[[#This Row],[Unit Price]] * RANDBETWEEN(70,90)/100</f>
        <v>202.5</v>
      </c>
      <c r="K318" s="12">
        <f ca="1">(Table2[[#This Row],[Unit Price]] - Table2[[#This Row],[Cost per Unit]]) * Table2[[#This Row],[Units Sold]]</f>
        <v>2945</v>
      </c>
    </row>
    <row r="319" spans="1:11" ht="15.6" x14ac:dyDescent="0.3">
      <c r="A319" s="5" cm="1">
        <f t="array" ref="A319">1000 + ROW(319:319)</f>
        <v>1319</v>
      </c>
      <c r="B319" s="6">
        <f t="shared" ca="1" si="20"/>
        <v>45314</v>
      </c>
      <c r="C319" s="5" t="str" cm="1">
        <f t="array" aca="1" ref="C319" ca="1">INDEX({"S001","S002","S003","S004","S005"}, RANDBETWEEN(1,5))</f>
        <v>S004</v>
      </c>
      <c r="D319" s="5" t="str" cm="1">
        <f t="array" aca="1" ref="D319" ca="1">INDEX({"Mumbai","Delhi","Bangalore","Ahmedabad","Chennai"}, RANDBETWEEN(1,5))</f>
        <v>Chennai</v>
      </c>
      <c r="E319" s="5" t="str" cm="1">
        <f t="array" aca="1" ref="E319" ca="1">INDEX({"Electronics","Groceries","Furniture","Clothing","Stationery"}, RANDBETWEEN(1,5))</f>
        <v>Clothing</v>
      </c>
      <c r="F319" s="5" t="str">
        <f t="shared" ca="1" si="21"/>
        <v>Notebook</v>
      </c>
      <c r="G319" s="8">
        <f t="shared" ca="1" si="22"/>
        <v>93</v>
      </c>
      <c r="H319" s="10">
        <f t="shared" ca="1" si="23"/>
        <v>1200</v>
      </c>
      <c r="I319" s="10">
        <f t="shared" ca="1" si="24"/>
        <v>111600</v>
      </c>
      <c r="J319" s="10">
        <f ca="1">Table2[[#This Row],[Unit Price]] * RANDBETWEEN(70,90)/100</f>
        <v>840</v>
      </c>
      <c r="K319" s="12">
        <f ca="1">(Table2[[#This Row],[Unit Price]] - Table2[[#This Row],[Cost per Unit]]) * Table2[[#This Row],[Units Sold]]</f>
        <v>33480</v>
      </c>
    </row>
    <row r="320" spans="1:11" ht="15.6" x14ac:dyDescent="0.3">
      <c r="A320" s="5" cm="1">
        <f t="array" ref="A320">1000 + ROW(320:320)</f>
        <v>1320</v>
      </c>
      <c r="B320" s="6">
        <f t="shared" ca="1" si="20"/>
        <v>45317</v>
      </c>
      <c r="C320" s="5" t="str" cm="1">
        <f t="array" aca="1" ref="C320" ca="1">INDEX({"S001","S002","S003","S004","S005"}, RANDBETWEEN(1,5))</f>
        <v>S004</v>
      </c>
      <c r="D320" s="5" t="str" cm="1">
        <f t="array" aca="1" ref="D320" ca="1">INDEX({"Mumbai","Delhi","Bangalore","Ahmedabad","Chennai"}, RANDBETWEEN(1,5))</f>
        <v>Mumbai</v>
      </c>
      <c r="E320" s="5" t="str" cm="1">
        <f t="array" aca="1" ref="E320" ca="1">INDEX({"Electronics","Groceries","Furniture","Clothing","Stationery"}, RANDBETWEEN(1,5))</f>
        <v>Electronics</v>
      </c>
      <c r="F320" s="5" t="str">
        <f t="shared" ca="1" si="21"/>
        <v>Office Chair</v>
      </c>
      <c r="G320" s="8">
        <f t="shared" ca="1" si="22"/>
        <v>34</v>
      </c>
      <c r="H320" s="10">
        <f t="shared" ca="1" si="23"/>
        <v>15000</v>
      </c>
      <c r="I320" s="10">
        <f t="shared" ca="1" si="24"/>
        <v>510000</v>
      </c>
      <c r="J320" s="10">
        <f ca="1">Table2[[#This Row],[Unit Price]] * RANDBETWEEN(70,90)/100</f>
        <v>13050</v>
      </c>
      <c r="K320" s="12">
        <f ca="1">(Table2[[#This Row],[Unit Price]] - Table2[[#This Row],[Cost per Unit]]) * Table2[[#This Row],[Units Sold]]</f>
        <v>66300</v>
      </c>
    </row>
    <row r="321" spans="1:11" ht="15.6" x14ac:dyDescent="0.3">
      <c r="A321" s="5" cm="1">
        <f t="array" ref="A321">1000 + ROW(321:321)</f>
        <v>1321</v>
      </c>
      <c r="B321" s="6">
        <f t="shared" ca="1" si="20"/>
        <v>45337</v>
      </c>
      <c r="C321" s="5" t="str" cm="1">
        <f t="array" aca="1" ref="C321" ca="1">INDEX({"S001","S002","S003","S004","S005"}, RANDBETWEEN(1,5))</f>
        <v>S004</v>
      </c>
      <c r="D321" s="5" t="str" cm="1">
        <f t="array" aca="1" ref="D321" ca="1">INDEX({"Mumbai","Delhi","Bangalore","Ahmedabad","Chennai"}, RANDBETWEEN(1,5))</f>
        <v>Bangalore</v>
      </c>
      <c r="E321" s="5" t="str" cm="1">
        <f t="array" aca="1" ref="E321" ca="1">INDEX({"Electronics","Groceries","Furniture","Clothing","Stationery"}, RANDBETWEEN(1,5))</f>
        <v>Groceries</v>
      </c>
      <c r="F321" s="5" t="str">
        <f t="shared" ca="1" si="21"/>
        <v>Desk Lamp</v>
      </c>
      <c r="G321" s="8">
        <f t="shared" ca="1" si="22"/>
        <v>33</v>
      </c>
      <c r="H321" s="10">
        <f t="shared" ca="1" si="23"/>
        <v>30000</v>
      </c>
      <c r="I321" s="10">
        <f t="shared" ca="1" si="24"/>
        <v>990000</v>
      </c>
      <c r="J321" s="10">
        <f ca="1">Table2[[#This Row],[Unit Price]] * RANDBETWEEN(70,90)/100</f>
        <v>23100</v>
      </c>
      <c r="K321" s="12">
        <f ca="1">(Table2[[#This Row],[Unit Price]] - Table2[[#This Row],[Cost per Unit]]) * Table2[[#This Row],[Units Sold]]</f>
        <v>227700</v>
      </c>
    </row>
    <row r="322" spans="1:11" ht="15.6" x14ac:dyDescent="0.3">
      <c r="A322" s="5" cm="1">
        <f t="array" ref="A322">1000 + ROW(322:322)</f>
        <v>1322</v>
      </c>
      <c r="B322" s="6">
        <f t="shared" ref="B322:B385" ca="1" si="25">RANDBETWEEN(DATE(2024,1,1), DATE(2024,3,31))</f>
        <v>45323</v>
      </c>
      <c r="C322" s="5" t="str" cm="1">
        <f t="array" aca="1" ref="C322" ca="1">INDEX({"S001","S002","S003","S004","S005"}, RANDBETWEEN(1,5))</f>
        <v>S004</v>
      </c>
      <c r="D322" s="5" t="str" cm="1">
        <f t="array" aca="1" ref="D322" ca="1">INDEX({"Mumbai","Delhi","Bangalore","Ahmedabad","Chennai"}, RANDBETWEEN(1,5))</f>
        <v>Ahmedabad</v>
      </c>
      <c r="E322" s="5" t="str" cm="1">
        <f t="array" aca="1" ref="E322" ca="1">INDEX({"Electronics","Groceries","Furniture","Clothing","Stationery"}, RANDBETWEEN(1,5))</f>
        <v>Clothing</v>
      </c>
      <c r="F322" s="5" t="str">
        <f t="shared" ref="F322:F385" ca="1" si="26">CHOOSE(RANDBETWEEN(1,10),
 "Smartphone","Laptop","Rice 5kg","Cooking Oil 1L",
 "Office Chair","Table","T-shirt","Notebook",
 "Desk Lamp","Shampoo")</f>
        <v>T-shirt</v>
      </c>
      <c r="G322" s="8">
        <f t="shared" ref="G322:G385" ca="1" si="27">RANDBETWEEN(1,100)</f>
        <v>52</v>
      </c>
      <c r="H322" s="10">
        <f t="shared" ref="H322:H385" ca="1" si="28">CHOOSE(RANDBETWEEN(1,10), 15000, 30000, 250, 500, 1200, 700, 300, 50, 900, 150)</f>
        <v>30000</v>
      </c>
      <c r="I322" s="10">
        <f t="shared" ref="I322:I385" ca="1" si="29">G322 * H322</f>
        <v>1560000</v>
      </c>
      <c r="J322" s="10">
        <f ca="1">Table2[[#This Row],[Unit Price]] * RANDBETWEEN(70,90)/100</f>
        <v>24600</v>
      </c>
      <c r="K322" s="12">
        <f ca="1">(Table2[[#This Row],[Unit Price]] - Table2[[#This Row],[Cost per Unit]]) * Table2[[#This Row],[Units Sold]]</f>
        <v>280800</v>
      </c>
    </row>
    <row r="323" spans="1:11" ht="15.6" x14ac:dyDescent="0.3">
      <c r="A323" s="5" cm="1">
        <f t="array" ref="A323">1000 + ROW(323:323)</f>
        <v>1323</v>
      </c>
      <c r="B323" s="6">
        <f t="shared" ca="1" si="25"/>
        <v>45354</v>
      </c>
      <c r="C323" s="5" t="str" cm="1">
        <f t="array" aca="1" ref="C323" ca="1">INDEX({"S001","S002","S003","S004","S005"}, RANDBETWEEN(1,5))</f>
        <v>S001</v>
      </c>
      <c r="D323" s="5" t="str" cm="1">
        <f t="array" aca="1" ref="D323" ca="1">INDEX({"Mumbai","Delhi","Bangalore","Ahmedabad","Chennai"}, RANDBETWEEN(1,5))</f>
        <v>Mumbai</v>
      </c>
      <c r="E323" s="5" t="str" cm="1">
        <f t="array" aca="1" ref="E323" ca="1">INDEX({"Electronics","Groceries","Furniture","Clothing","Stationery"}, RANDBETWEEN(1,5))</f>
        <v>Clothing</v>
      </c>
      <c r="F323" s="5" t="str">
        <f t="shared" ca="1" si="26"/>
        <v>T-shirt</v>
      </c>
      <c r="G323" s="8">
        <f t="shared" ca="1" si="27"/>
        <v>64</v>
      </c>
      <c r="H323" s="10">
        <f t="shared" ca="1" si="28"/>
        <v>30000</v>
      </c>
      <c r="I323" s="10">
        <f t="shared" ca="1" si="29"/>
        <v>1920000</v>
      </c>
      <c r="J323" s="10">
        <f ca="1">Table2[[#This Row],[Unit Price]] * RANDBETWEEN(70,90)/100</f>
        <v>24300</v>
      </c>
      <c r="K323" s="12">
        <f ca="1">(Table2[[#This Row],[Unit Price]] - Table2[[#This Row],[Cost per Unit]]) * Table2[[#This Row],[Units Sold]]</f>
        <v>364800</v>
      </c>
    </row>
    <row r="324" spans="1:11" ht="15.6" x14ac:dyDescent="0.3">
      <c r="A324" s="5" cm="1">
        <f t="array" ref="A324">1000 + ROW(324:324)</f>
        <v>1324</v>
      </c>
      <c r="B324" s="6">
        <f t="shared" ca="1" si="25"/>
        <v>45358</v>
      </c>
      <c r="C324" s="5" t="str" cm="1">
        <f t="array" aca="1" ref="C324" ca="1">INDEX({"S001","S002","S003","S004","S005"}, RANDBETWEEN(1,5))</f>
        <v>S005</v>
      </c>
      <c r="D324" s="5" t="str" cm="1">
        <f t="array" aca="1" ref="D324" ca="1">INDEX({"Mumbai","Delhi","Bangalore","Ahmedabad","Chennai"}, RANDBETWEEN(1,5))</f>
        <v>Delhi</v>
      </c>
      <c r="E324" s="5" t="str" cm="1">
        <f t="array" aca="1" ref="E324" ca="1">INDEX({"Electronics","Groceries","Furniture","Clothing","Stationery"}, RANDBETWEEN(1,5))</f>
        <v>Furniture</v>
      </c>
      <c r="F324" s="5" t="str">
        <f t="shared" ca="1" si="26"/>
        <v>Shampoo</v>
      </c>
      <c r="G324" s="8">
        <f t="shared" ca="1" si="27"/>
        <v>67</v>
      </c>
      <c r="H324" s="10">
        <f t="shared" ca="1" si="28"/>
        <v>250</v>
      </c>
      <c r="I324" s="10">
        <f t="shared" ca="1" si="29"/>
        <v>16750</v>
      </c>
      <c r="J324" s="10">
        <f ca="1">Table2[[#This Row],[Unit Price]] * RANDBETWEEN(70,90)/100</f>
        <v>202.5</v>
      </c>
      <c r="K324" s="12">
        <f ca="1">(Table2[[#This Row],[Unit Price]] - Table2[[#This Row],[Cost per Unit]]) * Table2[[#This Row],[Units Sold]]</f>
        <v>3182.5</v>
      </c>
    </row>
    <row r="325" spans="1:11" ht="15.6" x14ac:dyDescent="0.3">
      <c r="A325" s="5" cm="1">
        <f t="array" ref="A325">1000 + ROW(325:325)</f>
        <v>1325</v>
      </c>
      <c r="B325" s="6">
        <f t="shared" ca="1" si="25"/>
        <v>45348</v>
      </c>
      <c r="C325" s="5" t="str" cm="1">
        <f t="array" aca="1" ref="C325" ca="1">INDEX({"S001","S002","S003","S004","S005"}, RANDBETWEEN(1,5))</f>
        <v>S005</v>
      </c>
      <c r="D325" s="5" t="str" cm="1">
        <f t="array" aca="1" ref="D325" ca="1">INDEX({"Mumbai","Delhi","Bangalore","Ahmedabad","Chennai"}, RANDBETWEEN(1,5))</f>
        <v>Ahmedabad</v>
      </c>
      <c r="E325" s="5" t="str" cm="1">
        <f t="array" aca="1" ref="E325" ca="1">INDEX({"Electronics","Groceries","Furniture","Clothing","Stationery"}, RANDBETWEEN(1,5))</f>
        <v>Clothing</v>
      </c>
      <c r="F325" s="5" t="str">
        <f t="shared" ca="1" si="26"/>
        <v>Notebook</v>
      </c>
      <c r="G325" s="8">
        <f t="shared" ca="1" si="27"/>
        <v>78</v>
      </c>
      <c r="H325" s="10">
        <f t="shared" ca="1" si="28"/>
        <v>50</v>
      </c>
      <c r="I325" s="10">
        <f t="shared" ca="1" si="29"/>
        <v>3900</v>
      </c>
      <c r="J325" s="10">
        <f ca="1">Table2[[#This Row],[Unit Price]] * RANDBETWEEN(70,90)/100</f>
        <v>40.5</v>
      </c>
      <c r="K325" s="12">
        <f ca="1">(Table2[[#This Row],[Unit Price]] - Table2[[#This Row],[Cost per Unit]]) * Table2[[#This Row],[Units Sold]]</f>
        <v>741</v>
      </c>
    </row>
    <row r="326" spans="1:11" ht="15.6" x14ac:dyDescent="0.3">
      <c r="A326" s="5" cm="1">
        <f t="array" ref="A326">1000 + ROW(326:326)</f>
        <v>1326</v>
      </c>
      <c r="B326" s="6">
        <f t="shared" ca="1" si="25"/>
        <v>45308</v>
      </c>
      <c r="C326" s="5" t="str" cm="1">
        <f t="array" aca="1" ref="C326" ca="1">INDEX({"S001","S002","S003","S004","S005"}, RANDBETWEEN(1,5))</f>
        <v>S002</v>
      </c>
      <c r="D326" s="5" t="str" cm="1">
        <f t="array" aca="1" ref="D326" ca="1">INDEX({"Mumbai","Delhi","Bangalore","Ahmedabad","Chennai"}, RANDBETWEEN(1,5))</f>
        <v>Chennai</v>
      </c>
      <c r="E326" s="5" t="str" cm="1">
        <f t="array" aca="1" ref="E326" ca="1">INDEX({"Electronics","Groceries","Furniture","Clothing","Stationery"}, RANDBETWEEN(1,5))</f>
        <v>Furniture</v>
      </c>
      <c r="F326" s="5" t="str">
        <f t="shared" ca="1" si="26"/>
        <v>Table</v>
      </c>
      <c r="G326" s="8">
        <f t="shared" ca="1" si="27"/>
        <v>68</v>
      </c>
      <c r="H326" s="10">
        <f t="shared" ca="1" si="28"/>
        <v>900</v>
      </c>
      <c r="I326" s="10">
        <f t="shared" ca="1" si="29"/>
        <v>61200</v>
      </c>
      <c r="J326" s="10">
        <f ca="1">Table2[[#This Row],[Unit Price]] * RANDBETWEEN(70,90)/100</f>
        <v>783</v>
      </c>
      <c r="K326" s="12">
        <f ca="1">(Table2[[#This Row],[Unit Price]] - Table2[[#This Row],[Cost per Unit]]) * Table2[[#This Row],[Units Sold]]</f>
        <v>7956</v>
      </c>
    </row>
    <row r="327" spans="1:11" ht="15.6" x14ac:dyDescent="0.3">
      <c r="A327" s="5" cm="1">
        <f t="array" ref="A327">1000 + ROW(327:327)</f>
        <v>1327</v>
      </c>
      <c r="B327" s="6">
        <f t="shared" ca="1" si="25"/>
        <v>45361</v>
      </c>
      <c r="C327" s="5" t="str" cm="1">
        <f t="array" aca="1" ref="C327" ca="1">INDEX({"S001","S002","S003","S004","S005"}, RANDBETWEEN(1,5))</f>
        <v>S003</v>
      </c>
      <c r="D327" s="5" t="str" cm="1">
        <f t="array" aca="1" ref="D327" ca="1">INDEX({"Mumbai","Delhi","Bangalore","Ahmedabad","Chennai"}, RANDBETWEEN(1,5))</f>
        <v>Chennai</v>
      </c>
      <c r="E327" s="5" t="str" cm="1">
        <f t="array" aca="1" ref="E327" ca="1">INDEX({"Electronics","Groceries","Furniture","Clothing","Stationery"}, RANDBETWEEN(1,5))</f>
        <v>Groceries</v>
      </c>
      <c r="F327" s="5" t="str">
        <f t="shared" ca="1" si="26"/>
        <v>Office Chair</v>
      </c>
      <c r="G327" s="8">
        <f t="shared" ca="1" si="27"/>
        <v>26</v>
      </c>
      <c r="H327" s="10">
        <f t="shared" ca="1" si="28"/>
        <v>150</v>
      </c>
      <c r="I327" s="10">
        <f t="shared" ca="1" si="29"/>
        <v>3900</v>
      </c>
      <c r="J327" s="10">
        <f ca="1">Table2[[#This Row],[Unit Price]] * RANDBETWEEN(70,90)/100</f>
        <v>133.5</v>
      </c>
      <c r="K327" s="12">
        <f ca="1">(Table2[[#This Row],[Unit Price]] - Table2[[#This Row],[Cost per Unit]]) * Table2[[#This Row],[Units Sold]]</f>
        <v>429</v>
      </c>
    </row>
    <row r="328" spans="1:11" ht="15.6" x14ac:dyDescent="0.3">
      <c r="A328" s="5" cm="1">
        <f t="array" ref="A328">1000 + ROW(328:328)</f>
        <v>1328</v>
      </c>
      <c r="B328" s="6">
        <f t="shared" ca="1" si="25"/>
        <v>45303</v>
      </c>
      <c r="C328" s="5" t="str" cm="1">
        <f t="array" aca="1" ref="C328" ca="1">INDEX({"S001","S002","S003","S004","S005"}, RANDBETWEEN(1,5))</f>
        <v>S003</v>
      </c>
      <c r="D328" s="5" t="str" cm="1">
        <f t="array" aca="1" ref="D328" ca="1">INDEX({"Mumbai","Delhi","Bangalore","Ahmedabad","Chennai"}, RANDBETWEEN(1,5))</f>
        <v>Delhi</v>
      </c>
      <c r="E328" s="5" t="str" cm="1">
        <f t="array" aca="1" ref="E328" ca="1">INDEX({"Electronics","Groceries","Furniture","Clothing","Stationery"}, RANDBETWEEN(1,5))</f>
        <v>Electronics</v>
      </c>
      <c r="F328" s="5" t="str">
        <f t="shared" ca="1" si="26"/>
        <v>Notebook</v>
      </c>
      <c r="G328" s="8">
        <f t="shared" ca="1" si="27"/>
        <v>83</v>
      </c>
      <c r="H328" s="10">
        <f t="shared" ca="1" si="28"/>
        <v>50</v>
      </c>
      <c r="I328" s="10">
        <f t="shared" ca="1" si="29"/>
        <v>4150</v>
      </c>
      <c r="J328" s="10">
        <f ca="1">Table2[[#This Row],[Unit Price]] * RANDBETWEEN(70,90)/100</f>
        <v>36.5</v>
      </c>
      <c r="K328" s="12">
        <f ca="1">(Table2[[#This Row],[Unit Price]] - Table2[[#This Row],[Cost per Unit]]) * Table2[[#This Row],[Units Sold]]</f>
        <v>1120.5</v>
      </c>
    </row>
    <row r="329" spans="1:11" ht="15.6" x14ac:dyDescent="0.3">
      <c r="A329" s="5" cm="1">
        <f t="array" ref="A329">1000 + ROW(329:329)</f>
        <v>1329</v>
      </c>
      <c r="B329" s="6">
        <f t="shared" ca="1" si="25"/>
        <v>45381</v>
      </c>
      <c r="C329" s="5" t="str" cm="1">
        <f t="array" aca="1" ref="C329" ca="1">INDEX({"S001","S002","S003","S004","S005"}, RANDBETWEEN(1,5))</f>
        <v>S005</v>
      </c>
      <c r="D329" s="5" t="str" cm="1">
        <f t="array" aca="1" ref="D329" ca="1">INDEX({"Mumbai","Delhi","Bangalore","Ahmedabad","Chennai"}, RANDBETWEEN(1,5))</f>
        <v>Delhi</v>
      </c>
      <c r="E329" s="5" t="str" cm="1">
        <f t="array" aca="1" ref="E329" ca="1">INDEX({"Electronics","Groceries","Furniture","Clothing","Stationery"}, RANDBETWEEN(1,5))</f>
        <v>Stationery</v>
      </c>
      <c r="F329" s="5" t="str">
        <f t="shared" ca="1" si="26"/>
        <v>Shampoo</v>
      </c>
      <c r="G329" s="8">
        <f t="shared" ca="1" si="27"/>
        <v>86</v>
      </c>
      <c r="H329" s="10">
        <f t="shared" ca="1" si="28"/>
        <v>900</v>
      </c>
      <c r="I329" s="10">
        <f t="shared" ca="1" si="29"/>
        <v>77400</v>
      </c>
      <c r="J329" s="10">
        <f ca="1">Table2[[#This Row],[Unit Price]] * RANDBETWEEN(70,90)/100</f>
        <v>747</v>
      </c>
      <c r="K329" s="12">
        <f ca="1">(Table2[[#This Row],[Unit Price]] - Table2[[#This Row],[Cost per Unit]]) * Table2[[#This Row],[Units Sold]]</f>
        <v>13158</v>
      </c>
    </row>
    <row r="330" spans="1:11" ht="15.6" x14ac:dyDescent="0.3">
      <c r="A330" s="5" cm="1">
        <f t="array" ref="A330">1000 + ROW(330:330)</f>
        <v>1330</v>
      </c>
      <c r="B330" s="6">
        <f t="shared" ca="1" si="25"/>
        <v>45353</v>
      </c>
      <c r="C330" s="5" t="str" cm="1">
        <f t="array" aca="1" ref="C330" ca="1">INDEX({"S001","S002","S003","S004","S005"}, RANDBETWEEN(1,5))</f>
        <v>S003</v>
      </c>
      <c r="D330" s="5" t="str" cm="1">
        <f t="array" aca="1" ref="D330" ca="1">INDEX({"Mumbai","Delhi","Bangalore","Ahmedabad","Chennai"}, RANDBETWEEN(1,5))</f>
        <v>Bangalore</v>
      </c>
      <c r="E330" s="5" t="str" cm="1">
        <f t="array" aca="1" ref="E330" ca="1">INDEX({"Electronics","Groceries","Furniture","Clothing","Stationery"}, RANDBETWEEN(1,5))</f>
        <v>Electronics</v>
      </c>
      <c r="F330" s="5" t="str">
        <f t="shared" ca="1" si="26"/>
        <v>Rice 5kg</v>
      </c>
      <c r="G330" s="8">
        <f t="shared" ca="1" si="27"/>
        <v>7</v>
      </c>
      <c r="H330" s="10">
        <f t="shared" ca="1" si="28"/>
        <v>50</v>
      </c>
      <c r="I330" s="10">
        <f t="shared" ca="1" si="29"/>
        <v>350</v>
      </c>
      <c r="J330" s="10">
        <f ca="1">Table2[[#This Row],[Unit Price]] * RANDBETWEEN(70,90)/100</f>
        <v>38</v>
      </c>
      <c r="K330" s="12">
        <f ca="1">(Table2[[#This Row],[Unit Price]] - Table2[[#This Row],[Cost per Unit]]) * Table2[[#This Row],[Units Sold]]</f>
        <v>84</v>
      </c>
    </row>
    <row r="331" spans="1:11" ht="15.6" x14ac:dyDescent="0.3">
      <c r="A331" s="5" cm="1">
        <f t="array" ref="A331">1000 + ROW(331:331)</f>
        <v>1331</v>
      </c>
      <c r="B331" s="6">
        <f t="shared" ca="1" si="25"/>
        <v>45320</v>
      </c>
      <c r="C331" s="5" t="str" cm="1">
        <f t="array" aca="1" ref="C331" ca="1">INDEX({"S001","S002","S003","S004","S005"}, RANDBETWEEN(1,5))</f>
        <v>S001</v>
      </c>
      <c r="D331" s="5" t="str" cm="1">
        <f t="array" aca="1" ref="D331" ca="1">INDEX({"Mumbai","Delhi","Bangalore","Ahmedabad","Chennai"}, RANDBETWEEN(1,5))</f>
        <v>Chennai</v>
      </c>
      <c r="E331" s="5" t="str" cm="1">
        <f t="array" aca="1" ref="E331" ca="1">INDEX({"Electronics","Groceries","Furniture","Clothing","Stationery"}, RANDBETWEEN(1,5))</f>
        <v>Stationery</v>
      </c>
      <c r="F331" s="5" t="str">
        <f t="shared" ca="1" si="26"/>
        <v>Cooking Oil 1L</v>
      </c>
      <c r="G331" s="8">
        <f t="shared" ca="1" si="27"/>
        <v>71</v>
      </c>
      <c r="H331" s="10">
        <f t="shared" ca="1" si="28"/>
        <v>250</v>
      </c>
      <c r="I331" s="10">
        <f t="shared" ca="1" si="29"/>
        <v>17750</v>
      </c>
      <c r="J331" s="10">
        <f ca="1">Table2[[#This Row],[Unit Price]] * RANDBETWEEN(70,90)/100</f>
        <v>220</v>
      </c>
      <c r="K331" s="12">
        <f ca="1">(Table2[[#This Row],[Unit Price]] - Table2[[#This Row],[Cost per Unit]]) * Table2[[#This Row],[Units Sold]]</f>
        <v>2130</v>
      </c>
    </row>
    <row r="332" spans="1:11" ht="15.6" x14ac:dyDescent="0.3">
      <c r="A332" s="5" cm="1">
        <f t="array" ref="A332">1000 + ROW(332:332)</f>
        <v>1332</v>
      </c>
      <c r="B332" s="6">
        <f t="shared" ca="1" si="25"/>
        <v>45337</v>
      </c>
      <c r="C332" s="5" t="str" cm="1">
        <f t="array" aca="1" ref="C332" ca="1">INDEX({"S001","S002","S003","S004","S005"}, RANDBETWEEN(1,5))</f>
        <v>S002</v>
      </c>
      <c r="D332" s="5" t="str" cm="1">
        <f t="array" aca="1" ref="D332" ca="1">INDEX({"Mumbai","Delhi","Bangalore","Ahmedabad","Chennai"}, RANDBETWEEN(1,5))</f>
        <v>Mumbai</v>
      </c>
      <c r="E332" s="5" t="str" cm="1">
        <f t="array" aca="1" ref="E332" ca="1">INDEX({"Electronics","Groceries","Furniture","Clothing","Stationery"}, RANDBETWEEN(1,5))</f>
        <v>Groceries</v>
      </c>
      <c r="F332" s="5" t="str">
        <f t="shared" ca="1" si="26"/>
        <v>Shampoo</v>
      </c>
      <c r="G332" s="8">
        <f t="shared" ca="1" si="27"/>
        <v>28</v>
      </c>
      <c r="H332" s="10">
        <f t="shared" ca="1" si="28"/>
        <v>250</v>
      </c>
      <c r="I332" s="10">
        <f t="shared" ca="1" si="29"/>
        <v>7000</v>
      </c>
      <c r="J332" s="10">
        <f ca="1">Table2[[#This Row],[Unit Price]] * RANDBETWEEN(70,90)/100</f>
        <v>175</v>
      </c>
      <c r="K332" s="12">
        <f ca="1">(Table2[[#This Row],[Unit Price]] - Table2[[#This Row],[Cost per Unit]]) * Table2[[#This Row],[Units Sold]]</f>
        <v>2100</v>
      </c>
    </row>
    <row r="333" spans="1:11" ht="15.6" x14ac:dyDescent="0.3">
      <c r="A333" s="5" cm="1">
        <f t="array" ref="A333">1000 + ROW(333:333)</f>
        <v>1333</v>
      </c>
      <c r="B333" s="6">
        <f t="shared" ca="1" si="25"/>
        <v>45308</v>
      </c>
      <c r="C333" s="5" t="str" cm="1">
        <f t="array" aca="1" ref="C333" ca="1">INDEX({"S001","S002","S003","S004","S005"}, RANDBETWEEN(1,5))</f>
        <v>S002</v>
      </c>
      <c r="D333" s="5" t="str" cm="1">
        <f t="array" aca="1" ref="D333" ca="1">INDEX({"Mumbai","Delhi","Bangalore","Ahmedabad","Chennai"}, RANDBETWEEN(1,5))</f>
        <v>Ahmedabad</v>
      </c>
      <c r="E333" s="5" t="str" cm="1">
        <f t="array" aca="1" ref="E333" ca="1">INDEX({"Electronics","Groceries","Furniture","Clothing","Stationery"}, RANDBETWEEN(1,5))</f>
        <v>Clothing</v>
      </c>
      <c r="F333" s="5" t="str">
        <f t="shared" ca="1" si="26"/>
        <v>Smartphone</v>
      </c>
      <c r="G333" s="8">
        <f t="shared" ca="1" si="27"/>
        <v>96</v>
      </c>
      <c r="H333" s="10">
        <f t="shared" ca="1" si="28"/>
        <v>900</v>
      </c>
      <c r="I333" s="10">
        <f t="shared" ca="1" si="29"/>
        <v>86400</v>
      </c>
      <c r="J333" s="10">
        <f ca="1">Table2[[#This Row],[Unit Price]] * RANDBETWEEN(70,90)/100</f>
        <v>702</v>
      </c>
      <c r="K333" s="12">
        <f ca="1">(Table2[[#This Row],[Unit Price]] - Table2[[#This Row],[Cost per Unit]]) * Table2[[#This Row],[Units Sold]]</f>
        <v>19008</v>
      </c>
    </row>
    <row r="334" spans="1:11" ht="15.6" x14ac:dyDescent="0.3">
      <c r="A334" s="5" cm="1">
        <f t="array" ref="A334">1000 + ROW(334:334)</f>
        <v>1334</v>
      </c>
      <c r="B334" s="6">
        <f t="shared" ca="1" si="25"/>
        <v>45312</v>
      </c>
      <c r="C334" s="5" t="str" cm="1">
        <f t="array" aca="1" ref="C334" ca="1">INDEX({"S001","S002","S003","S004","S005"}, RANDBETWEEN(1,5))</f>
        <v>S003</v>
      </c>
      <c r="D334" s="5" t="str" cm="1">
        <f t="array" aca="1" ref="D334" ca="1">INDEX({"Mumbai","Delhi","Bangalore","Ahmedabad","Chennai"}, RANDBETWEEN(1,5))</f>
        <v>Mumbai</v>
      </c>
      <c r="E334" s="5" t="str" cm="1">
        <f t="array" aca="1" ref="E334" ca="1">INDEX({"Electronics","Groceries","Furniture","Clothing","Stationery"}, RANDBETWEEN(1,5))</f>
        <v>Groceries</v>
      </c>
      <c r="F334" s="5" t="str">
        <f t="shared" ca="1" si="26"/>
        <v>Laptop</v>
      </c>
      <c r="G334" s="8">
        <f t="shared" ca="1" si="27"/>
        <v>91</v>
      </c>
      <c r="H334" s="10">
        <f t="shared" ca="1" si="28"/>
        <v>500</v>
      </c>
      <c r="I334" s="10">
        <f t="shared" ca="1" si="29"/>
        <v>45500</v>
      </c>
      <c r="J334" s="10">
        <f ca="1">Table2[[#This Row],[Unit Price]] * RANDBETWEEN(70,90)/100</f>
        <v>355</v>
      </c>
      <c r="K334" s="12">
        <f ca="1">(Table2[[#This Row],[Unit Price]] - Table2[[#This Row],[Cost per Unit]]) * Table2[[#This Row],[Units Sold]]</f>
        <v>13195</v>
      </c>
    </row>
    <row r="335" spans="1:11" ht="15.6" x14ac:dyDescent="0.3">
      <c r="A335" s="5" cm="1">
        <f t="array" ref="A335">1000 + ROW(334:334)</f>
        <v>1334</v>
      </c>
      <c r="B335" s="6">
        <f t="shared" ca="1" si="25"/>
        <v>45378</v>
      </c>
      <c r="C335" s="5" t="str" cm="1">
        <f t="array" aca="1" ref="C335" ca="1">INDEX({"S001","S002","S003","S004","S005"}, RANDBETWEEN(1,5))</f>
        <v>S003</v>
      </c>
      <c r="D335" s="5" t="str" cm="1">
        <f t="array" aca="1" ref="D335" ca="1">INDEX({"Mumbai","Delhi","Bangalore","Ahmedabad","Chennai"}, RANDBETWEEN(1,5))</f>
        <v>Mumbai</v>
      </c>
      <c r="E335" s="5" t="str" cm="1">
        <f t="array" aca="1" ref="E335" ca="1">INDEX({"Electronics","Groceries","Furniture","Clothing","Stationery"}, RANDBETWEEN(1,5))</f>
        <v>Groceries</v>
      </c>
      <c r="F335" s="5" t="str">
        <f t="shared" ca="1" si="26"/>
        <v>Rice 5kg</v>
      </c>
      <c r="G335" s="8">
        <f t="shared" ca="1" si="27"/>
        <v>26</v>
      </c>
      <c r="H335" s="10">
        <f t="shared" ca="1" si="28"/>
        <v>15000</v>
      </c>
      <c r="I335" s="10">
        <f t="shared" ca="1" si="29"/>
        <v>390000</v>
      </c>
      <c r="J335" s="10">
        <f ca="1">Table2[[#This Row],[Unit Price]] * RANDBETWEEN(70,90)/100</f>
        <v>13350</v>
      </c>
      <c r="K335" s="12">
        <f ca="1">(Table2[[#This Row],[Unit Price]] - Table2[[#This Row],[Cost per Unit]]) * Table2[[#This Row],[Units Sold]]</f>
        <v>42900</v>
      </c>
    </row>
    <row r="336" spans="1:11" ht="15.6" x14ac:dyDescent="0.3">
      <c r="A336" s="5" cm="1">
        <f t="array" ref="A336">1000 + ROW(336:336)</f>
        <v>1336</v>
      </c>
      <c r="B336" s="6">
        <f t="shared" ca="1" si="25"/>
        <v>45376</v>
      </c>
      <c r="C336" s="5" t="str" cm="1">
        <f t="array" aca="1" ref="C336" ca="1">INDEX({"S001","S002","S003","S004","S005"}, RANDBETWEEN(1,5))</f>
        <v>S003</v>
      </c>
      <c r="D336" s="5" t="str" cm="1">
        <f t="array" aca="1" ref="D336" ca="1">INDEX({"Mumbai","Delhi","Bangalore","Ahmedabad","Chennai"}, RANDBETWEEN(1,5))</f>
        <v>Delhi</v>
      </c>
      <c r="E336" s="5" t="str" cm="1">
        <f t="array" aca="1" ref="E336" ca="1">INDEX({"Electronics","Groceries","Furniture","Clothing","Stationery"}, RANDBETWEEN(1,5))</f>
        <v>Stationery</v>
      </c>
      <c r="F336" s="5" t="str">
        <f t="shared" ca="1" si="26"/>
        <v>Laptop</v>
      </c>
      <c r="G336" s="8">
        <f t="shared" ca="1" si="27"/>
        <v>16</v>
      </c>
      <c r="H336" s="10">
        <f t="shared" ca="1" si="28"/>
        <v>30000</v>
      </c>
      <c r="I336" s="10">
        <f t="shared" ca="1" si="29"/>
        <v>480000</v>
      </c>
      <c r="J336" s="10">
        <f ca="1">Table2[[#This Row],[Unit Price]] * RANDBETWEEN(70,90)/100</f>
        <v>26700</v>
      </c>
      <c r="K336" s="12">
        <f ca="1">(Table2[[#This Row],[Unit Price]] - Table2[[#This Row],[Cost per Unit]]) * Table2[[#This Row],[Units Sold]]</f>
        <v>52800</v>
      </c>
    </row>
    <row r="337" spans="1:11" ht="15.6" x14ac:dyDescent="0.3">
      <c r="A337" s="5" cm="1">
        <f t="array" ref="A337">1000 + ROW(337:337)</f>
        <v>1337</v>
      </c>
      <c r="B337" s="6">
        <f t="shared" ca="1" si="25"/>
        <v>45338</v>
      </c>
      <c r="C337" s="5" t="str" cm="1">
        <f t="array" aca="1" ref="C337" ca="1">INDEX({"S001","S002","S003","S004","S005"}, RANDBETWEEN(1,5))</f>
        <v>S003</v>
      </c>
      <c r="D337" s="5" t="str" cm="1">
        <f t="array" aca="1" ref="D337" ca="1">INDEX({"Mumbai","Delhi","Bangalore","Ahmedabad","Chennai"}, RANDBETWEEN(1,5))</f>
        <v>Delhi</v>
      </c>
      <c r="E337" s="5" t="str" cm="1">
        <f t="array" aca="1" ref="E337" ca="1">INDEX({"Electronics","Groceries","Furniture","Clothing","Stationery"}, RANDBETWEEN(1,5))</f>
        <v>Clothing</v>
      </c>
      <c r="F337" s="5" t="str">
        <f t="shared" ca="1" si="26"/>
        <v>Cooking Oil 1L</v>
      </c>
      <c r="G337" s="8">
        <f t="shared" ca="1" si="27"/>
        <v>96</v>
      </c>
      <c r="H337" s="10">
        <f t="shared" ca="1" si="28"/>
        <v>900</v>
      </c>
      <c r="I337" s="10">
        <f t="shared" ca="1" si="29"/>
        <v>86400</v>
      </c>
      <c r="J337" s="10">
        <f ca="1">Table2[[#This Row],[Unit Price]] * RANDBETWEEN(70,90)/100</f>
        <v>774</v>
      </c>
      <c r="K337" s="12">
        <f ca="1">(Table2[[#This Row],[Unit Price]] - Table2[[#This Row],[Cost per Unit]]) * Table2[[#This Row],[Units Sold]]</f>
        <v>12096</v>
      </c>
    </row>
    <row r="338" spans="1:11" ht="15.6" x14ac:dyDescent="0.3">
      <c r="A338" s="5" cm="1">
        <f t="array" ref="A338">1000 + ROW(338:338)</f>
        <v>1338</v>
      </c>
      <c r="B338" s="6">
        <f t="shared" ca="1" si="25"/>
        <v>45305</v>
      </c>
      <c r="C338" s="5" t="str" cm="1">
        <f t="array" aca="1" ref="C338" ca="1">INDEX({"S001","S002","S003","S004","S005"}, RANDBETWEEN(1,5))</f>
        <v>S004</v>
      </c>
      <c r="D338" s="5" t="str" cm="1">
        <f t="array" aca="1" ref="D338" ca="1">INDEX({"Mumbai","Delhi","Bangalore","Ahmedabad","Chennai"}, RANDBETWEEN(1,5))</f>
        <v>Bangalore</v>
      </c>
      <c r="E338" s="5" t="str" cm="1">
        <f t="array" aca="1" ref="E338" ca="1">INDEX({"Electronics","Groceries","Furniture","Clothing","Stationery"}, RANDBETWEEN(1,5))</f>
        <v>Stationery</v>
      </c>
      <c r="F338" s="5" t="str">
        <f t="shared" ca="1" si="26"/>
        <v>Desk Lamp</v>
      </c>
      <c r="G338" s="8">
        <f t="shared" ca="1" si="27"/>
        <v>79</v>
      </c>
      <c r="H338" s="10">
        <f t="shared" ca="1" si="28"/>
        <v>50</v>
      </c>
      <c r="I338" s="10">
        <f t="shared" ca="1" si="29"/>
        <v>3950</v>
      </c>
      <c r="J338" s="10">
        <f ca="1">Table2[[#This Row],[Unit Price]] * RANDBETWEEN(70,90)/100</f>
        <v>42.5</v>
      </c>
      <c r="K338" s="12">
        <f ca="1">(Table2[[#This Row],[Unit Price]] - Table2[[#This Row],[Cost per Unit]]) * Table2[[#This Row],[Units Sold]]</f>
        <v>592.5</v>
      </c>
    </row>
    <row r="339" spans="1:11" ht="15.6" x14ac:dyDescent="0.3">
      <c r="A339" s="5" cm="1">
        <f t="array" ref="A339">1000 + ROW(339:339)</f>
        <v>1339</v>
      </c>
      <c r="B339" s="6">
        <f t="shared" ca="1" si="25"/>
        <v>45363</v>
      </c>
      <c r="C339" s="5" t="str" cm="1">
        <f t="array" aca="1" ref="C339" ca="1">INDEX({"S001","S002","S003","S004","S005"}, RANDBETWEEN(1,5))</f>
        <v>S003</v>
      </c>
      <c r="D339" s="5" t="str" cm="1">
        <f t="array" aca="1" ref="D339" ca="1">INDEX({"Mumbai","Delhi","Bangalore","Ahmedabad","Chennai"}, RANDBETWEEN(1,5))</f>
        <v>Chennai</v>
      </c>
      <c r="E339" s="5" t="str" cm="1">
        <f t="array" aca="1" ref="E339" ca="1">INDEX({"Electronics","Groceries","Furniture","Clothing","Stationery"}, RANDBETWEEN(1,5))</f>
        <v>Furniture</v>
      </c>
      <c r="F339" s="5" t="str">
        <f t="shared" ca="1" si="26"/>
        <v>Cooking Oil 1L</v>
      </c>
      <c r="G339" s="8">
        <f t="shared" ca="1" si="27"/>
        <v>12</v>
      </c>
      <c r="H339" s="10">
        <f t="shared" ca="1" si="28"/>
        <v>250</v>
      </c>
      <c r="I339" s="10">
        <f t="shared" ca="1" si="29"/>
        <v>3000</v>
      </c>
      <c r="J339" s="10">
        <f ca="1">Table2[[#This Row],[Unit Price]] * RANDBETWEEN(70,90)/100</f>
        <v>200</v>
      </c>
      <c r="K339" s="12">
        <f ca="1">(Table2[[#This Row],[Unit Price]] - Table2[[#This Row],[Cost per Unit]]) * Table2[[#This Row],[Units Sold]]</f>
        <v>600</v>
      </c>
    </row>
    <row r="340" spans="1:11" ht="15.6" x14ac:dyDescent="0.3">
      <c r="A340" s="5" cm="1">
        <f t="array" ref="A340">1000 + ROW(340:340)</f>
        <v>1340</v>
      </c>
      <c r="B340" s="6">
        <f t="shared" ca="1" si="25"/>
        <v>45334</v>
      </c>
      <c r="C340" s="5" t="str" cm="1">
        <f t="array" aca="1" ref="C340" ca="1">INDEX({"S001","S002","S003","S004","S005"}, RANDBETWEEN(1,5))</f>
        <v>S002</v>
      </c>
      <c r="D340" s="5" t="str" cm="1">
        <f t="array" aca="1" ref="D340" ca="1">INDEX({"Mumbai","Delhi","Bangalore","Ahmedabad","Chennai"}, RANDBETWEEN(1,5))</f>
        <v>Delhi</v>
      </c>
      <c r="E340" s="5" t="str" cm="1">
        <f t="array" aca="1" ref="E340" ca="1">INDEX({"Electronics","Groceries","Furniture","Clothing","Stationery"}, RANDBETWEEN(1,5))</f>
        <v>Stationery</v>
      </c>
      <c r="F340" s="5" t="str">
        <f t="shared" ca="1" si="26"/>
        <v>T-shirt</v>
      </c>
      <c r="G340" s="8">
        <f t="shared" ca="1" si="27"/>
        <v>96</v>
      </c>
      <c r="H340" s="10">
        <f t="shared" ca="1" si="28"/>
        <v>1200</v>
      </c>
      <c r="I340" s="10">
        <f t="shared" ca="1" si="29"/>
        <v>115200</v>
      </c>
      <c r="J340" s="10">
        <f ca="1">Table2[[#This Row],[Unit Price]] * RANDBETWEEN(70,90)/100</f>
        <v>864</v>
      </c>
      <c r="K340" s="12">
        <f ca="1">(Table2[[#This Row],[Unit Price]] - Table2[[#This Row],[Cost per Unit]]) * Table2[[#This Row],[Units Sold]]</f>
        <v>32256</v>
      </c>
    </row>
    <row r="341" spans="1:11" ht="15.6" x14ac:dyDescent="0.3">
      <c r="A341" s="5" cm="1">
        <f t="array" ref="A341">1000 + ROW(341:341)</f>
        <v>1341</v>
      </c>
      <c r="B341" s="6">
        <f t="shared" ca="1" si="25"/>
        <v>45314</v>
      </c>
      <c r="C341" s="5" t="str" cm="1">
        <f t="array" aca="1" ref="C341" ca="1">INDEX({"S001","S002","S003","S004","S005"}, RANDBETWEEN(1,5))</f>
        <v>S001</v>
      </c>
      <c r="D341" s="5" t="str" cm="1">
        <f t="array" aca="1" ref="D341" ca="1">INDEX({"Mumbai","Delhi","Bangalore","Ahmedabad","Chennai"}, RANDBETWEEN(1,5))</f>
        <v>Ahmedabad</v>
      </c>
      <c r="E341" s="5" t="str" cm="1">
        <f t="array" aca="1" ref="E341" ca="1">INDEX({"Electronics","Groceries","Furniture","Clothing","Stationery"}, RANDBETWEEN(1,5))</f>
        <v>Furniture</v>
      </c>
      <c r="F341" s="5" t="str">
        <f t="shared" ca="1" si="26"/>
        <v>T-shirt</v>
      </c>
      <c r="G341" s="8">
        <f t="shared" ca="1" si="27"/>
        <v>80</v>
      </c>
      <c r="H341" s="10">
        <f t="shared" ca="1" si="28"/>
        <v>700</v>
      </c>
      <c r="I341" s="10">
        <f t="shared" ca="1" si="29"/>
        <v>56000</v>
      </c>
      <c r="J341" s="10">
        <f ca="1">Table2[[#This Row],[Unit Price]] * RANDBETWEEN(70,90)/100</f>
        <v>630</v>
      </c>
      <c r="K341" s="12">
        <f ca="1">(Table2[[#This Row],[Unit Price]] - Table2[[#This Row],[Cost per Unit]]) * Table2[[#This Row],[Units Sold]]</f>
        <v>5600</v>
      </c>
    </row>
    <row r="342" spans="1:11" ht="15.6" x14ac:dyDescent="0.3">
      <c r="A342" s="5" cm="1">
        <f t="array" ref="A342">1000 + ROW(342:342)</f>
        <v>1342</v>
      </c>
      <c r="B342" s="6">
        <f t="shared" ca="1" si="25"/>
        <v>45364</v>
      </c>
      <c r="C342" s="5" t="str" cm="1">
        <f t="array" aca="1" ref="C342" ca="1">INDEX({"S001","S002","S003","S004","S005"}, RANDBETWEEN(1,5))</f>
        <v>S004</v>
      </c>
      <c r="D342" s="5" t="str" cm="1">
        <f t="array" aca="1" ref="D342" ca="1">INDEX({"Mumbai","Delhi","Bangalore","Ahmedabad","Chennai"}, RANDBETWEEN(1,5))</f>
        <v>Delhi</v>
      </c>
      <c r="E342" s="5" t="str" cm="1">
        <f t="array" aca="1" ref="E342" ca="1">INDEX({"Electronics","Groceries","Furniture","Clothing","Stationery"}, RANDBETWEEN(1,5))</f>
        <v>Electronics</v>
      </c>
      <c r="F342" s="5" t="str">
        <f t="shared" ca="1" si="26"/>
        <v>Desk Lamp</v>
      </c>
      <c r="G342" s="8">
        <f t="shared" ca="1" si="27"/>
        <v>13</v>
      </c>
      <c r="H342" s="10">
        <f t="shared" ca="1" si="28"/>
        <v>50</v>
      </c>
      <c r="I342" s="10">
        <f t="shared" ca="1" si="29"/>
        <v>650</v>
      </c>
      <c r="J342" s="10">
        <f ca="1">Table2[[#This Row],[Unit Price]] * RANDBETWEEN(70,90)/100</f>
        <v>42.5</v>
      </c>
      <c r="K342" s="12">
        <f ca="1">(Table2[[#This Row],[Unit Price]] - Table2[[#This Row],[Cost per Unit]]) * Table2[[#This Row],[Units Sold]]</f>
        <v>97.5</v>
      </c>
    </row>
    <row r="343" spans="1:11" ht="15.6" x14ac:dyDescent="0.3">
      <c r="A343" s="5" cm="1">
        <f t="array" ref="A343">1000 + ROW(343:343)</f>
        <v>1343</v>
      </c>
      <c r="B343" s="6">
        <f t="shared" ca="1" si="25"/>
        <v>45358</v>
      </c>
      <c r="C343" s="5" t="str" cm="1">
        <f t="array" aca="1" ref="C343" ca="1">INDEX({"S001","S002","S003","S004","S005"}, RANDBETWEEN(1,5))</f>
        <v>S004</v>
      </c>
      <c r="D343" s="5" t="str" cm="1">
        <f t="array" aca="1" ref="D343" ca="1">INDEX({"Mumbai","Delhi","Bangalore","Ahmedabad","Chennai"}, RANDBETWEEN(1,5))</f>
        <v>Ahmedabad</v>
      </c>
      <c r="E343" s="5" t="str" cm="1">
        <f t="array" aca="1" ref="E343" ca="1">INDEX({"Electronics","Groceries","Furniture","Clothing","Stationery"}, RANDBETWEEN(1,5))</f>
        <v>Clothing</v>
      </c>
      <c r="F343" s="5" t="str">
        <f t="shared" ca="1" si="26"/>
        <v>Rice 5kg</v>
      </c>
      <c r="G343" s="8">
        <f t="shared" ca="1" si="27"/>
        <v>43</v>
      </c>
      <c r="H343" s="10">
        <f t="shared" ca="1" si="28"/>
        <v>500</v>
      </c>
      <c r="I343" s="10">
        <f t="shared" ca="1" si="29"/>
        <v>21500</v>
      </c>
      <c r="J343" s="10">
        <f ca="1">Table2[[#This Row],[Unit Price]] * RANDBETWEEN(70,90)/100</f>
        <v>395</v>
      </c>
      <c r="K343" s="12">
        <f ca="1">(Table2[[#This Row],[Unit Price]] - Table2[[#This Row],[Cost per Unit]]) * Table2[[#This Row],[Units Sold]]</f>
        <v>4515</v>
      </c>
    </row>
    <row r="344" spans="1:11" ht="15.6" x14ac:dyDescent="0.3">
      <c r="A344" s="5" cm="1">
        <f t="array" ref="A344">1000 + ROW(344:344)</f>
        <v>1344</v>
      </c>
      <c r="B344" s="6">
        <f t="shared" ca="1" si="25"/>
        <v>45350</v>
      </c>
      <c r="C344" s="5" t="str" cm="1">
        <f t="array" aca="1" ref="C344" ca="1">INDEX({"S001","S002","S003","S004","S005"}, RANDBETWEEN(1,5))</f>
        <v>S004</v>
      </c>
      <c r="D344" s="5" t="str" cm="1">
        <f t="array" aca="1" ref="D344" ca="1">INDEX({"Mumbai","Delhi","Bangalore","Ahmedabad","Chennai"}, RANDBETWEEN(1,5))</f>
        <v>Mumbai</v>
      </c>
      <c r="E344" s="5" t="str" cm="1">
        <f t="array" aca="1" ref="E344" ca="1">INDEX({"Electronics","Groceries","Furniture","Clothing","Stationery"}, RANDBETWEEN(1,5))</f>
        <v>Electronics</v>
      </c>
      <c r="F344" s="5" t="str">
        <f t="shared" ca="1" si="26"/>
        <v>T-shirt</v>
      </c>
      <c r="G344" s="8">
        <f t="shared" ca="1" si="27"/>
        <v>21</v>
      </c>
      <c r="H344" s="10">
        <f t="shared" ca="1" si="28"/>
        <v>50</v>
      </c>
      <c r="I344" s="10">
        <f t="shared" ca="1" si="29"/>
        <v>1050</v>
      </c>
      <c r="J344" s="10">
        <f ca="1">Table2[[#This Row],[Unit Price]] * RANDBETWEEN(70,90)/100</f>
        <v>41</v>
      </c>
      <c r="K344" s="12">
        <f ca="1">(Table2[[#This Row],[Unit Price]] - Table2[[#This Row],[Cost per Unit]]) * Table2[[#This Row],[Units Sold]]</f>
        <v>189</v>
      </c>
    </row>
    <row r="345" spans="1:11" ht="15.6" x14ac:dyDescent="0.3">
      <c r="A345" s="5" cm="1">
        <f t="array" ref="A345">1000 + ROW(345:345)</f>
        <v>1345</v>
      </c>
      <c r="B345" s="6">
        <f t="shared" ca="1" si="25"/>
        <v>45342</v>
      </c>
      <c r="C345" s="5" t="str" cm="1">
        <f t="array" aca="1" ref="C345" ca="1">INDEX({"S001","S002","S003","S004","S005"}, RANDBETWEEN(1,5))</f>
        <v>S005</v>
      </c>
      <c r="D345" s="5" t="str" cm="1">
        <f t="array" aca="1" ref="D345" ca="1">INDEX({"Mumbai","Delhi","Bangalore","Ahmedabad","Chennai"}, RANDBETWEEN(1,5))</f>
        <v>Delhi</v>
      </c>
      <c r="E345" s="5" t="str" cm="1">
        <f t="array" aca="1" ref="E345" ca="1">INDEX({"Electronics","Groceries","Furniture","Clothing","Stationery"}, RANDBETWEEN(1,5))</f>
        <v>Groceries</v>
      </c>
      <c r="F345" s="5" t="str">
        <f t="shared" ca="1" si="26"/>
        <v>T-shirt</v>
      </c>
      <c r="G345" s="8">
        <f t="shared" ca="1" si="27"/>
        <v>18</v>
      </c>
      <c r="H345" s="10">
        <f t="shared" ca="1" si="28"/>
        <v>250</v>
      </c>
      <c r="I345" s="10">
        <f t="shared" ca="1" si="29"/>
        <v>4500</v>
      </c>
      <c r="J345" s="10">
        <f ca="1">Table2[[#This Row],[Unit Price]] * RANDBETWEEN(70,90)/100</f>
        <v>182.5</v>
      </c>
      <c r="K345" s="12">
        <f ca="1">(Table2[[#This Row],[Unit Price]] - Table2[[#This Row],[Cost per Unit]]) * Table2[[#This Row],[Units Sold]]</f>
        <v>1215</v>
      </c>
    </row>
    <row r="346" spans="1:11" ht="15.6" x14ac:dyDescent="0.3">
      <c r="A346" s="5" cm="1">
        <f t="array" ref="A346">1000 + ROW(346:346)</f>
        <v>1346</v>
      </c>
      <c r="B346" s="6">
        <f t="shared" ca="1" si="25"/>
        <v>45352</v>
      </c>
      <c r="C346" s="5" t="str" cm="1">
        <f t="array" aca="1" ref="C346" ca="1">INDEX({"S001","S002","S003","S004","S005"}, RANDBETWEEN(1,5))</f>
        <v>S002</v>
      </c>
      <c r="D346" s="5" t="str" cm="1">
        <f t="array" aca="1" ref="D346" ca="1">INDEX({"Mumbai","Delhi","Bangalore","Ahmedabad","Chennai"}, RANDBETWEEN(1,5))</f>
        <v>Bangalore</v>
      </c>
      <c r="E346" s="5" t="str" cm="1">
        <f t="array" aca="1" ref="E346" ca="1">INDEX({"Electronics","Groceries","Furniture","Clothing","Stationery"}, RANDBETWEEN(1,5))</f>
        <v>Groceries</v>
      </c>
      <c r="F346" s="5" t="str">
        <f t="shared" ca="1" si="26"/>
        <v>Cooking Oil 1L</v>
      </c>
      <c r="G346" s="8">
        <f t="shared" ca="1" si="27"/>
        <v>51</v>
      </c>
      <c r="H346" s="10">
        <f t="shared" ca="1" si="28"/>
        <v>250</v>
      </c>
      <c r="I346" s="10">
        <f t="shared" ca="1" si="29"/>
        <v>12750</v>
      </c>
      <c r="J346" s="10">
        <f ca="1">Table2[[#This Row],[Unit Price]] * RANDBETWEEN(70,90)/100</f>
        <v>212.5</v>
      </c>
      <c r="K346" s="12">
        <f ca="1">(Table2[[#This Row],[Unit Price]] - Table2[[#This Row],[Cost per Unit]]) * Table2[[#This Row],[Units Sold]]</f>
        <v>1912.5</v>
      </c>
    </row>
    <row r="347" spans="1:11" ht="15.6" x14ac:dyDescent="0.3">
      <c r="A347" s="5" cm="1">
        <f t="array" ref="A347">1000 + ROW(347:347)</f>
        <v>1347</v>
      </c>
      <c r="B347" s="6">
        <f t="shared" ca="1" si="25"/>
        <v>45306</v>
      </c>
      <c r="C347" s="5" t="str" cm="1">
        <f t="array" aca="1" ref="C347" ca="1">INDEX({"S001","S002","S003","S004","S005"}, RANDBETWEEN(1,5))</f>
        <v>S001</v>
      </c>
      <c r="D347" s="5" t="str" cm="1">
        <f t="array" aca="1" ref="D347" ca="1">INDEX({"Mumbai","Delhi","Bangalore","Ahmedabad","Chennai"}, RANDBETWEEN(1,5))</f>
        <v>Mumbai</v>
      </c>
      <c r="E347" s="5" t="str" cm="1">
        <f t="array" aca="1" ref="E347" ca="1">INDEX({"Electronics","Groceries","Furniture","Clothing","Stationery"}, RANDBETWEEN(1,5))</f>
        <v>Stationery</v>
      </c>
      <c r="F347" s="5" t="str">
        <f t="shared" ca="1" si="26"/>
        <v>Cooking Oil 1L</v>
      </c>
      <c r="G347" s="8">
        <f t="shared" ca="1" si="27"/>
        <v>95</v>
      </c>
      <c r="H347" s="10">
        <f t="shared" ca="1" si="28"/>
        <v>30000</v>
      </c>
      <c r="I347" s="10">
        <f t="shared" ca="1" si="29"/>
        <v>2850000</v>
      </c>
      <c r="J347" s="10">
        <f ca="1">Table2[[#This Row],[Unit Price]] * RANDBETWEEN(70,90)/100</f>
        <v>23100</v>
      </c>
      <c r="K347" s="12">
        <f ca="1">(Table2[[#This Row],[Unit Price]] - Table2[[#This Row],[Cost per Unit]]) * Table2[[#This Row],[Units Sold]]</f>
        <v>655500</v>
      </c>
    </row>
    <row r="348" spans="1:11" ht="15.6" x14ac:dyDescent="0.3">
      <c r="A348" s="5" cm="1">
        <f t="array" ref="A348">1000 + ROW(348:348)</f>
        <v>1348</v>
      </c>
      <c r="B348" s="6">
        <f t="shared" ca="1" si="25"/>
        <v>45369</v>
      </c>
      <c r="C348" s="5" t="str" cm="1">
        <f t="array" aca="1" ref="C348" ca="1">INDEX({"S001","S002","S003","S004","S005"}, RANDBETWEEN(1,5))</f>
        <v>S002</v>
      </c>
      <c r="D348" s="5" t="str" cm="1">
        <f t="array" aca="1" ref="D348" ca="1">INDEX({"Mumbai","Delhi","Bangalore","Ahmedabad","Chennai"}, RANDBETWEEN(1,5))</f>
        <v>Bangalore</v>
      </c>
      <c r="E348" s="5" t="str" cm="1">
        <f t="array" aca="1" ref="E348" ca="1">INDEX({"Electronics","Groceries","Furniture","Clothing","Stationery"}, RANDBETWEEN(1,5))</f>
        <v>Stationery</v>
      </c>
      <c r="F348" s="5" t="str">
        <f t="shared" ca="1" si="26"/>
        <v>Smartphone</v>
      </c>
      <c r="G348" s="8">
        <f t="shared" ca="1" si="27"/>
        <v>39</v>
      </c>
      <c r="H348" s="10">
        <f t="shared" ca="1" si="28"/>
        <v>900</v>
      </c>
      <c r="I348" s="10">
        <f t="shared" ca="1" si="29"/>
        <v>35100</v>
      </c>
      <c r="J348" s="10">
        <f ca="1">Table2[[#This Row],[Unit Price]] * RANDBETWEEN(70,90)/100</f>
        <v>630</v>
      </c>
      <c r="K348" s="12">
        <f ca="1">(Table2[[#This Row],[Unit Price]] - Table2[[#This Row],[Cost per Unit]]) * Table2[[#This Row],[Units Sold]]</f>
        <v>10530</v>
      </c>
    </row>
    <row r="349" spans="1:11" ht="15.6" x14ac:dyDescent="0.3">
      <c r="A349" s="5" cm="1">
        <f t="array" ref="A349">1000 + ROW(349:349)</f>
        <v>1349</v>
      </c>
      <c r="B349" s="6">
        <f t="shared" ca="1" si="25"/>
        <v>45368</v>
      </c>
      <c r="C349" s="5" t="str" cm="1">
        <f t="array" aca="1" ref="C349" ca="1">INDEX({"S001","S002","S003","S004","S005"}, RANDBETWEEN(1,5))</f>
        <v>S002</v>
      </c>
      <c r="D349" s="5" t="str" cm="1">
        <f t="array" aca="1" ref="D349" ca="1">INDEX({"Mumbai","Delhi","Bangalore","Ahmedabad","Chennai"}, RANDBETWEEN(1,5))</f>
        <v>Mumbai</v>
      </c>
      <c r="E349" s="5" t="str" cm="1">
        <f t="array" aca="1" ref="E349" ca="1">INDEX({"Electronics","Groceries","Furniture","Clothing","Stationery"}, RANDBETWEEN(1,5))</f>
        <v>Groceries</v>
      </c>
      <c r="F349" s="5" t="str">
        <f t="shared" ca="1" si="26"/>
        <v>Laptop</v>
      </c>
      <c r="G349" s="8">
        <f t="shared" ca="1" si="27"/>
        <v>23</v>
      </c>
      <c r="H349" s="10">
        <f t="shared" ca="1" si="28"/>
        <v>150</v>
      </c>
      <c r="I349" s="10">
        <f t="shared" ca="1" si="29"/>
        <v>3450</v>
      </c>
      <c r="J349" s="10">
        <f ca="1">Table2[[#This Row],[Unit Price]] * RANDBETWEEN(70,90)/100</f>
        <v>126</v>
      </c>
      <c r="K349" s="12">
        <f ca="1">(Table2[[#This Row],[Unit Price]] - Table2[[#This Row],[Cost per Unit]]) * Table2[[#This Row],[Units Sold]]</f>
        <v>552</v>
      </c>
    </row>
    <row r="350" spans="1:11" ht="15.6" x14ac:dyDescent="0.3">
      <c r="A350" s="5" cm="1">
        <f t="array" ref="A350">1000 + ROW(350:350)</f>
        <v>1350</v>
      </c>
      <c r="B350" s="6">
        <f t="shared" ca="1" si="25"/>
        <v>45374</v>
      </c>
      <c r="C350" s="5" t="str" cm="1">
        <f t="array" aca="1" ref="C350" ca="1">INDEX({"S001","S002","S003","S004","S005"}, RANDBETWEEN(1,5))</f>
        <v>S001</v>
      </c>
      <c r="D350" s="5" t="str" cm="1">
        <f t="array" aca="1" ref="D350" ca="1">INDEX({"Mumbai","Delhi","Bangalore","Ahmedabad","Chennai"}, RANDBETWEEN(1,5))</f>
        <v>Mumbai</v>
      </c>
      <c r="E350" s="5" t="str" cm="1">
        <f t="array" aca="1" ref="E350" ca="1">INDEX({"Electronics","Groceries","Furniture","Clothing","Stationery"}, RANDBETWEEN(1,5))</f>
        <v>Electronics</v>
      </c>
      <c r="F350" s="5" t="str">
        <f t="shared" ca="1" si="26"/>
        <v>Smartphone</v>
      </c>
      <c r="G350" s="8">
        <f t="shared" ca="1" si="27"/>
        <v>40</v>
      </c>
      <c r="H350" s="10">
        <f t="shared" ca="1" si="28"/>
        <v>250</v>
      </c>
      <c r="I350" s="10">
        <f t="shared" ca="1" si="29"/>
        <v>10000</v>
      </c>
      <c r="J350" s="10">
        <f ca="1">Table2[[#This Row],[Unit Price]] * RANDBETWEEN(70,90)/100</f>
        <v>182.5</v>
      </c>
      <c r="K350" s="12">
        <f ca="1">(Table2[[#This Row],[Unit Price]] - Table2[[#This Row],[Cost per Unit]]) * Table2[[#This Row],[Units Sold]]</f>
        <v>2700</v>
      </c>
    </row>
    <row r="351" spans="1:11" ht="15.6" x14ac:dyDescent="0.3">
      <c r="A351" s="5" cm="1">
        <f t="array" ref="A351">1000 + ROW(351:351)</f>
        <v>1351</v>
      </c>
      <c r="B351" s="6">
        <f t="shared" ca="1" si="25"/>
        <v>45335</v>
      </c>
      <c r="C351" s="5" t="str" cm="1">
        <f t="array" aca="1" ref="C351" ca="1">INDEX({"S001","S002","S003","S004","S005"}, RANDBETWEEN(1,5))</f>
        <v>S001</v>
      </c>
      <c r="D351" s="5" t="str" cm="1">
        <f t="array" aca="1" ref="D351" ca="1">INDEX({"Mumbai","Delhi","Bangalore","Ahmedabad","Chennai"}, RANDBETWEEN(1,5))</f>
        <v>Delhi</v>
      </c>
      <c r="E351" s="5" t="str" cm="1">
        <f t="array" aca="1" ref="E351" ca="1">INDEX({"Electronics","Groceries","Furniture","Clothing","Stationery"}, RANDBETWEEN(1,5))</f>
        <v>Electronics</v>
      </c>
      <c r="F351" s="5" t="str">
        <f t="shared" ca="1" si="26"/>
        <v>Desk Lamp</v>
      </c>
      <c r="G351" s="8">
        <f t="shared" ca="1" si="27"/>
        <v>9</v>
      </c>
      <c r="H351" s="10">
        <f t="shared" ca="1" si="28"/>
        <v>30000</v>
      </c>
      <c r="I351" s="10">
        <f t="shared" ca="1" si="29"/>
        <v>270000</v>
      </c>
      <c r="J351" s="10">
        <f ca="1">Table2[[#This Row],[Unit Price]] * RANDBETWEEN(70,90)/100</f>
        <v>21000</v>
      </c>
      <c r="K351" s="12">
        <f ca="1">(Table2[[#This Row],[Unit Price]] - Table2[[#This Row],[Cost per Unit]]) * Table2[[#This Row],[Units Sold]]</f>
        <v>81000</v>
      </c>
    </row>
    <row r="352" spans="1:11" ht="15.6" x14ac:dyDescent="0.3">
      <c r="A352" s="5" cm="1">
        <f t="array" ref="A352">1000 + ROW(352:352)</f>
        <v>1352</v>
      </c>
      <c r="B352" s="6">
        <f t="shared" ca="1" si="25"/>
        <v>45316</v>
      </c>
      <c r="C352" s="5" t="str" cm="1">
        <f t="array" aca="1" ref="C352" ca="1">INDEX({"S001","S002","S003","S004","S005"}, RANDBETWEEN(1,5))</f>
        <v>S003</v>
      </c>
      <c r="D352" s="5" t="str" cm="1">
        <f t="array" aca="1" ref="D352" ca="1">INDEX({"Mumbai","Delhi","Bangalore","Ahmedabad","Chennai"}, RANDBETWEEN(1,5))</f>
        <v>Mumbai</v>
      </c>
      <c r="E352" s="5" t="str" cm="1">
        <f t="array" aca="1" ref="E352" ca="1">INDEX({"Electronics","Groceries","Furniture","Clothing","Stationery"}, RANDBETWEEN(1,5))</f>
        <v>Stationery</v>
      </c>
      <c r="F352" s="5" t="str">
        <f t="shared" ca="1" si="26"/>
        <v>Laptop</v>
      </c>
      <c r="G352" s="8">
        <f t="shared" ca="1" si="27"/>
        <v>1</v>
      </c>
      <c r="H352" s="10">
        <f t="shared" ca="1" si="28"/>
        <v>500</v>
      </c>
      <c r="I352" s="10">
        <f t="shared" ca="1" si="29"/>
        <v>500</v>
      </c>
      <c r="J352" s="10">
        <f ca="1">Table2[[#This Row],[Unit Price]] * RANDBETWEEN(70,90)/100</f>
        <v>435</v>
      </c>
      <c r="K352" s="12">
        <f ca="1">(Table2[[#This Row],[Unit Price]] - Table2[[#This Row],[Cost per Unit]]) * Table2[[#This Row],[Units Sold]]</f>
        <v>65</v>
      </c>
    </row>
    <row r="353" spans="1:11" ht="15.6" x14ac:dyDescent="0.3">
      <c r="A353" s="5" cm="1">
        <f t="array" ref="A353">1000 + ROW(353:353)</f>
        <v>1353</v>
      </c>
      <c r="B353" s="6">
        <f t="shared" ca="1" si="25"/>
        <v>45326</v>
      </c>
      <c r="C353" s="5" t="str" cm="1">
        <f t="array" aca="1" ref="C353" ca="1">INDEX({"S001","S002","S003","S004","S005"}, RANDBETWEEN(1,5))</f>
        <v>S003</v>
      </c>
      <c r="D353" s="5" t="str" cm="1">
        <f t="array" aca="1" ref="D353" ca="1">INDEX({"Mumbai","Delhi","Bangalore","Ahmedabad","Chennai"}, RANDBETWEEN(1,5))</f>
        <v>Bangalore</v>
      </c>
      <c r="E353" s="5" t="str" cm="1">
        <f t="array" aca="1" ref="E353" ca="1">INDEX({"Electronics","Groceries","Furniture","Clothing","Stationery"}, RANDBETWEEN(1,5))</f>
        <v>Clothing</v>
      </c>
      <c r="F353" s="5" t="str">
        <f t="shared" ca="1" si="26"/>
        <v>Desk Lamp</v>
      </c>
      <c r="G353" s="8">
        <f t="shared" ca="1" si="27"/>
        <v>84</v>
      </c>
      <c r="H353" s="10">
        <f t="shared" ca="1" si="28"/>
        <v>50</v>
      </c>
      <c r="I353" s="10">
        <f t="shared" ca="1" si="29"/>
        <v>4200</v>
      </c>
      <c r="J353" s="10">
        <f ca="1">Table2[[#This Row],[Unit Price]] * RANDBETWEEN(70,90)/100</f>
        <v>37</v>
      </c>
      <c r="K353" s="12">
        <f ca="1">(Table2[[#This Row],[Unit Price]] - Table2[[#This Row],[Cost per Unit]]) * Table2[[#This Row],[Units Sold]]</f>
        <v>1092</v>
      </c>
    </row>
    <row r="354" spans="1:11" ht="15.6" x14ac:dyDescent="0.3">
      <c r="A354" s="5" cm="1">
        <f t="array" ref="A354">1000 + ROW(354:354)</f>
        <v>1354</v>
      </c>
      <c r="B354" s="6">
        <f t="shared" ca="1" si="25"/>
        <v>45339</v>
      </c>
      <c r="C354" s="5" t="str" cm="1">
        <f t="array" aca="1" ref="C354" ca="1">INDEX({"S001","S002","S003","S004","S005"}, RANDBETWEEN(1,5))</f>
        <v>S002</v>
      </c>
      <c r="D354" s="5" t="str" cm="1">
        <f t="array" aca="1" ref="D354" ca="1">INDEX({"Mumbai","Delhi","Bangalore","Ahmedabad","Chennai"}, RANDBETWEEN(1,5))</f>
        <v>Ahmedabad</v>
      </c>
      <c r="E354" s="5" t="str" cm="1">
        <f t="array" aca="1" ref="E354" ca="1">INDEX({"Electronics","Groceries","Furniture","Clothing","Stationery"}, RANDBETWEEN(1,5))</f>
        <v>Electronics</v>
      </c>
      <c r="F354" s="5" t="str">
        <f t="shared" ca="1" si="26"/>
        <v>Rice 5kg</v>
      </c>
      <c r="G354" s="8">
        <f t="shared" ca="1" si="27"/>
        <v>66</v>
      </c>
      <c r="H354" s="10">
        <f t="shared" ca="1" si="28"/>
        <v>250</v>
      </c>
      <c r="I354" s="10">
        <f t="shared" ca="1" si="29"/>
        <v>16500</v>
      </c>
      <c r="J354" s="10">
        <f ca="1">Table2[[#This Row],[Unit Price]] * RANDBETWEEN(70,90)/100</f>
        <v>205</v>
      </c>
      <c r="K354" s="12">
        <f ca="1">(Table2[[#This Row],[Unit Price]] - Table2[[#This Row],[Cost per Unit]]) * Table2[[#This Row],[Units Sold]]</f>
        <v>2970</v>
      </c>
    </row>
    <row r="355" spans="1:11" ht="15.6" x14ac:dyDescent="0.3">
      <c r="A355" s="5" cm="1">
        <f t="array" ref="A355">1000 + ROW(355:355)</f>
        <v>1355</v>
      </c>
      <c r="B355" s="6">
        <f t="shared" ca="1" si="25"/>
        <v>45340</v>
      </c>
      <c r="C355" s="5" t="str" cm="1">
        <f t="array" aca="1" ref="C355" ca="1">INDEX({"S001","S002","S003","S004","S005"}, RANDBETWEEN(1,5))</f>
        <v>S005</v>
      </c>
      <c r="D355" s="5" t="str" cm="1">
        <f t="array" aca="1" ref="D355" ca="1">INDEX({"Mumbai","Delhi","Bangalore","Ahmedabad","Chennai"}, RANDBETWEEN(1,5))</f>
        <v>Delhi</v>
      </c>
      <c r="E355" s="5" t="str" cm="1">
        <f t="array" aca="1" ref="E355" ca="1">INDEX({"Electronics","Groceries","Furniture","Clothing","Stationery"}, RANDBETWEEN(1,5))</f>
        <v>Electronics</v>
      </c>
      <c r="F355" s="5" t="str">
        <f t="shared" ca="1" si="26"/>
        <v>Table</v>
      </c>
      <c r="G355" s="8">
        <f t="shared" ca="1" si="27"/>
        <v>14</v>
      </c>
      <c r="H355" s="10">
        <f t="shared" ca="1" si="28"/>
        <v>30000</v>
      </c>
      <c r="I355" s="10">
        <f t="shared" ca="1" si="29"/>
        <v>420000</v>
      </c>
      <c r="J355" s="10">
        <f ca="1">Table2[[#This Row],[Unit Price]] * RANDBETWEEN(70,90)/100</f>
        <v>24600</v>
      </c>
      <c r="K355" s="12">
        <f ca="1">(Table2[[#This Row],[Unit Price]] - Table2[[#This Row],[Cost per Unit]]) * Table2[[#This Row],[Units Sold]]</f>
        <v>75600</v>
      </c>
    </row>
    <row r="356" spans="1:11" ht="15.6" x14ac:dyDescent="0.3">
      <c r="A356" s="5" cm="1">
        <f t="array" ref="A356">1000 + ROW(356:356)</f>
        <v>1356</v>
      </c>
      <c r="B356" s="6">
        <f t="shared" ca="1" si="25"/>
        <v>45370</v>
      </c>
      <c r="C356" s="5" t="str" cm="1">
        <f t="array" aca="1" ref="C356" ca="1">INDEX({"S001","S002","S003","S004","S005"}, RANDBETWEEN(1,5))</f>
        <v>S004</v>
      </c>
      <c r="D356" s="5" t="str" cm="1">
        <f t="array" aca="1" ref="D356" ca="1">INDEX({"Mumbai","Delhi","Bangalore","Ahmedabad","Chennai"}, RANDBETWEEN(1,5))</f>
        <v>Delhi</v>
      </c>
      <c r="E356" s="5" t="str" cm="1">
        <f t="array" aca="1" ref="E356" ca="1">INDEX({"Electronics","Groceries","Furniture","Clothing","Stationery"}, RANDBETWEEN(1,5))</f>
        <v>Groceries</v>
      </c>
      <c r="F356" s="5" t="str">
        <f t="shared" ca="1" si="26"/>
        <v>T-shirt</v>
      </c>
      <c r="G356" s="8">
        <f t="shared" ca="1" si="27"/>
        <v>57</v>
      </c>
      <c r="H356" s="10">
        <f t="shared" ca="1" si="28"/>
        <v>300</v>
      </c>
      <c r="I356" s="10">
        <f t="shared" ca="1" si="29"/>
        <v>17100</v>
      </c>
      <c r="J356" s="10">
        <f ca="1">Table2[[#This Row],[Unit Price]] * RANDBETWEEN(70,90)/100</f>
        <v>225</v>
      </c>
      <c r="K356" s="12">
        <f ca="1">(Table2[[#This Row],[Unit Price]] - Table2[[#This Row],[Cost per Unit]]) * Table2[[#This Row],[Units Sold]]</f>
        <v>4275</v>
      </c>
    </row>
    <row r="357" spans="1:11" ht="15.6" x14ac:dyDescent="0.3">
      <c r="A357" s="5" cm="1">
        <f t="array" ref="A357">1000 + ROW(357:357)</f>
        <v>1357</v>
      </c>
      <c r="B357" s="6">
        <f t="shared" ca="1" si="25"/>
        <v>45339</v>
      </c>
      <c r="C357" s="5" t="str" cm="1">
        <f t="array" aca="1" ref="C357" ca="1">INDEX({"S001","S002","S003","S004","S005"}, RANDBETWEEN(1,5))</f>
        <v>S005</v>
      </c>
      <c r="D357" s="5" t="str" cm="1">
        <f t="array" aca="1" ref="D357" ca="1">INDEX({"Mumbai","Delhi","Bangalore","Ahmedabad","Chennai"}, RANDBETWEEN(1,5))</f>
        <v>Ahmedabad</v>
      </c>
      <c r="E357" s="5" t="str" cm="1">
        <f t="array" aca="1" ref="E357" ca="1">INDEX({"Electronics","Groceries","Furniture","Clothing","Stationery"}, RANDBETWEEN(1,5))</f>
        <v>Stationery</v>
      </c>
      <c r="F357" s="5" t="str">
        <f t="shared" ca="1" si="26"/>
        <v>Laptop</v>
      </c>
      <c r="G357" s="8">
        <f t="shared" ca="1" si="27"/>
        <v>35</v>
      </c>
      <c r="H357" s="10">
        <f t="shared" ca="1" si="28"/>
        <v>300</v>
      </c>
      <c r="I357" s="10">
        <f t="shared" ca="1" si="29"/>
        <v>10500</v>
      </c>
      <c r="J357" s="10">
        <f ca="1">Table2[[#This Row],[Unit Price]] * RANDBETWEEN(70,90)/100</f>
        <v>267</v>
      </c>
      <c r="K357" s="12">
        <f ca="1">(Table2[[#This Row],[Unit Price]] - Table2[[#This Row],[Cost per Unit]]) * Table2[[#This Row],[Units Sold]]</f>
        <v>1155</v>
      </c>
    </row>
    <row r="358" spans="1:11" ht="15.6" x14ac:dyDescent="0.3">
      <c r="A358" s="5" cm="1">
        <f t="array" ref="A358">1000 + ROW(358:358)</f>
        <v>1358</v>
      </c>
      <c r="B358" s="6">
        <f t="shared" ca="1" si="25"/>
        <v>45337</v>
      </c>
      <c r="C358" s="5" t="str" cm="1">
        <f t="array" aca="1" ref="C358" ca="1">INDEX({"S001","S002","S003","S004","S005"}, RANDBETWEEN(1,5))</f>
        <v>S005</v>
      </c>
      <c r="D358" s="5" t="str" cm="1">
        <f t="array" aca="1" ref="D358" ca="1">INDEX({"Mumbai","Delhi","Bangalore","Ahmedabad","Chennai"}, RANDBETWEEN(1,5))</f>
        <v>Chennai</v>
      </c>
      <c r="E358" s="5" t="str" cm="1">
        <f t="array" aca="1" ref="E358" ca="1">INDEX({"Electronics","Groceries","Furniture","Clothing","Stationery"}, RANDBETWEEN(1,5))</f>
        <v>Electronics</v>
      </c>
      <c r="F358" s="5" t="str">
        <f t="shared" ca="1" si="26"/>
        <v>Shampoo</v>
      </c>
      <c r="G358" s="8">
        <f t="shared" ca="1" si="27"/>
        <v>66</v>
      </c>
      <c r="H358" s="10">
        <f t="shared" ca="1" si="28"/>
        <v>15000</v>
      </c>
      <c r="I358" s="10">
        <f t="shared" ca="1" si="29"/>
        <v>990000</v>
      </c>
      <c r="J358" s="10">
        <f ca="1">Table2[[#This Row],[Unit Price]] * RANDBETWEEN(70,90)/100</f>
        <v>10800</v>
      </c>
      <c r="K358" s="12">
        <f ca="1">(Table2[[#This Row],[Unit Price]] - Table2[[#This Row],[Cost per Unit]]) * Table2[[#This Row],[Units Sold]]</f>
        <v>277200</v>
      </c>
    </row>
    <row r="359" spans="1:11" ht="15.6" x14ac:dyDescent="0.3">
      <c r="A359" s="5" cm="1">
        <f t="array" ref="A359">1000 + ROW(359:359)</f>
        <v>1359</v>
      </c>
      <c r="B359" s="6">
        <f t="shared" ca="1" si="25"/>
        <v>45315</v>
      </c>
      <c r="C359" s="5" t="str" cm="1">
        <f t="array" aca="1" ref="C359" ca="1">INDEX({"S001","S002","S003","S004","S005"}, RANDBETWEEN(1,5))</f>
        <v>S005</v>
      </c>
      <c r="D359" s="5" t="str" cm="1">
        <f t="array" aca="1" ref="D359" ca="1">INDEX({"Mumbai","Delhi","Bangalore","Ahmedabad","Chennai"}, RANDBETWEEN(1,5))</f>
        <v>Chennai</v>
      </c>
      <c r="E359" s="5" t="str" cm="1">
        <f t="array" aca="1" ref="E359" ca="1">INDEX({"Electronics","Groceries","Furniture","Clothing","Stationery"}, RANDBETWEEN(1,5))</f>
        <v>Clothing</v>
      </c>
      <c r="F359" s="5" t="str">
        <f t="shared" ca="1" si="26"/>
        <v>Desk Lamp</v>
      </c>
      <c r="G359" s="8">
        <f t="shared" ca="1" si="27"/>
        <v>88</v>
      </c>
      <c r="H359" s="10">
        <f t="shared" ca="1" si="28"/>
        <v>1200</v>
      </c>
      <c r="I359" s="10">
        <f t="shared" ca="1" si="29"/>
        <v>105600</v>
      </c>
      <c r="J359" s="10">
        <f ca="1">Table2[[#This Row],[Unit Price]] * RANDBETWEEN(70,90)/100</f>
        <v>876</v>
      </c>
      <c r="K359" s="12">
        <f ca="1">(Table2[[#This Row],[Unit Price]] - Table2[[#This Row],[Cost per Unit]]) * Table2[[#This Row],[Units Sold]]</f>
        <v>28512</v>
      </c>
    </row>
    <row r="360" spans="1:11" ht="15.6" x14ac:dyDescent="0.3">
      <c r="A360" s="5" cm="1">
        <f t="array" ref="A360">1000 + ROW(360:360)</f>
        <v>1360</v>
      </c>
      <c r="B360" s="6">
        <f t="shared" ca="1" si="25"/>
        <v>45349</v>
      </c>
      <c r="C360" s="5" t="str" cm="1">
        <f t="array" aca="1" ref="C360" ca="1">INDEX({"S001","S002","S003","S004","S005"}, RANDBETWEEN(1,5))</f>
        <v>S001</v>
      </c>
      <c r="D360" s="5" t="str" cm="1">
        <f t="array" aca="1" ref="D360" ca="1">INDEX({"Mumbai","Delhi","Bangalore","Ahmedabad","Chennai"}, RANDBETWEEN(1,5))</f>
        <v>Ahmedabad</v>
      </c>
      <c r="E360" s="5" t="str" cm="1">
        <f t="array" aca="1" ref="E360" ca="1">INDEX({"Electronics","Groceries","Furniture","Clothing","Stationery"}, RANDBETWEEN(1,5))</f>
        <v>Stationery</v>
      </c>
      <c r="F360" s="5" t="str">
        <f t="shared" ca="1" si="26"/>
        <v>Desk Lamp</v>
      </c>
      <c r="G360" s="8">
        <f t="shared" ca="1" si="27"/>
        <v>28</v>
      </c>
      <c r="H360" s="10">
        <f t="shared" ca="1" si="28"/>
        <v>15000</v>
      </c>
      <c r="I360" s="10">
        <f t="shared" ca="1" si="29"/>
        <v>420000</v>
      </c>
      <c r="J360" s="10">
        <f ca="1">Table2[[#This Row],[Unit Price]] * RANDBETWEEN(70,90)/100</f>
        <v>11250</v>
      </c>
      <c r="K360" s="12">
        <f ca="1">(Table2[[#This Row],[Unit Price]] - Table2[[#This Row],[Cost per Unit]]) * Table2[[#This Row],[Units Sold]]</f>
        <v>105000</v>
      </c>
    </row>
    <row r="361" spans="1:11" ht="15.6" x14ac:dyDescent="0.3">
      <c r="A361" s="5" cm="1">
        <f t="array" ref="A361">1000 + ROW(361:361)</f>
        <v>1361</v>
      </c>
      <c r="B361" s="6">
        <f t="shared" ca="1" si="25"/>
        <v>45346</v>
      </c>
      <c r="C361" s="5" t="str" cm="1">
        <f t="array" aca="1" ref="C361" ca="1">INDEX({"S001","S002","S003","S004","S005"}, RANDBETWEEN(1,5))</f>
        <v>S001</v>
      </c>
      <c r="D361" s="5" t="str" cm="1">
        <f t="array" aca="1" ref="D361" ca="1">INDEX({"Mumbai","Delhi","Bangalore","Ahmedabad","Chennai"}, RANDBETWEEN(1,5))</f>
        <v>Bangalore</v>
      </c>
      <c r="E361" s="5" t="str" cm="1">
        <f t="array" aca="1" ref="E361" ca="1">INDEX({"Electronics","Groceries","Furniture","Clothing","Stationery"}, RANDBETWEEN(1,5))</f>
        <v>Groceries</v>
      </c>
      <c r="F361" s="5" t="str">
        <f t="shared" ca="1" si="26"/>
        <v>Desk Lamp</v>
      </c>
      <c r="G361" s="8">
        <f t="shared" ca="1" si="27"/>
        <v>95</v>
      </c>
      <c r="H361" s="10">
        <f t="shared" ca="1" si="28"/>
        <v>250</v>
      </c>
      <c r="I361" s="10">
        <f t="shared" ca="1" si="29"/>
        <v>23750</v>
      </c>
      <c r="J361" s="10">
        <f ca="1">Table2[[#This Row],[Unit Price]] * RANDBETWEEN(70,90)/100</f>
        <v>177.5</v>
      </c>
      <c r="K361" s="12">
        <f ca="1">(Table2[[#This Row],[Unit Price]] - Table2[[#This Row],[Cost per Unit]]) * Table2[[#This Row],[Units Sold]]</f>
        <v>6887.5</v>
      </c>
    </row>
    <row r="362" spans="1:11" ht="15.6" x14ac:dyDescent="0.3">
      <c r="A362" s="5" cm="1">
        <f t="array" ref="A362">1000 + ROW(362:362)</f>
        <v>1362</v>
      </c>
      <c r="B362" s="6">
        <f t="shared" ca="1" si="25"/>
        <v>45297</v>
      </c>
      <c r="C362" s="5" t="str" cm="1">
        <f t="array" aca="1" ref="C362" ca="1">INDEX({"S001","S002","S003","S004","S005"}, RANDBETWEEN(1,5))</f>
        <v>S005</v>
      </c>
      <c r="D362" s="5" t="str" cm="1">
        <f t="array" aca="1" ref="D362" ca="1">INDEX({"Mumbai","Delhi","Bangalore","Ahmedabad","Chennai"}, RANDBETWEEN(1,5))</f>
        <v>Delhi</v>
      </c>
      <c r="E362" s="5" t="str" cm="1">
        <f t="array" aca="1" ref="E362" ca="1">INDEX({"Electronics","Groceries","Furniture","Clothing","Stationery"}, RANDBETWEEN(1,5))</f>
        <v>Groceries</v>
      </c>
      <c r="F362" s="5" t="str">
        <f t="shared" ca="1" si="26"/>
        <v>Table</v>
      </c>
      <c r="G362" s="8">
        <f t="shared" ca="1" si="27"/>
        <v>40</v>
      </c>
      <c r="H362" s="10">
        <f t="shared" ca="1" si="28"/>
        <v>30000</v>
      </c>
      <c r="I362" s="10">
        <f t="shared" ca="1" si="29"/>
        <v>1200000</v>
      </c>
      <c r="J362" s="10">
        <f ca="1">Table2[[#This Row],[Unit Price]] * RANDBETWEEN(70,90)/100</f>
        <v>22500</v>
      </c>
      <c r="K362" s="12">
        <f ca="1">(Table2[[#This Row],[Unit Price]] - Table2[[#This Row],[Cost per Unit]]) * Table2[[#This Row],[Units Sold]]</f>
        <v>300000</v>
      </c>
    </row>
    <row r="363" spans="1:11" ht="15.6" x14ac:dyDescent="0.3">
      <c r="A363" s="5" cm="1">
        <f t="array" ref="A363">1000 + ROW(363:363)</f>
        <v>1363</v>
      </c>
      <c r="B363" s="6">
        <f t="shared" ca="1" si="25"/>
        <v>45312</v>
      </c>
      <c r="C363" s="5" t="str" cm="1">
        <f t="array" aca="1" ref="C363" ca="1">INDEX({"S001","S002","S003","S004","S005"}, RANDBETWEEN(1,5))</f>
        <v>S005</v>
      </c>
      <c r="D363" s="5" t="str" cm="1">
        <f t="array" aca="1" ref="D363" ca="1">INDEX({"Mumbai","Delhi","Bangalore","Ahmedabad","Chennai"}, RANDBETWEEN(1,5))</f>
        <v>Chennai</v>
      </c>
      <c r="E363" s="5" t="str" cm="1">
        <f t="array" aca="1" ref="E363" ca="1">INDEX({"Electronics","Groceries","Furniture","Clothing","Stationery"}, RANDBETWEEN(1,5))</f>
        <v>Furniture</v>
      </c>
      <c r="F363" s="5" t="str">
        <f t="shared" ca="1" si="26"/>
        <v>Office Chair</v>
      </c>
      <c r="G363" s="8">
        <f t="shared" ca="1" si="27"/>
        <v>66</v>
      </c>
      <c r="H363" s="10">
        <f t="shared" ca="1" si="28"/>
        <v>900</v>
      </c>
      <c r="I363" s="10">
        <f t="shared" ca="1" si="29"/>
        <v>59400</v>
      </c>
      <c r="J363" s="10">
        <f ca="1">Table2[[#This Row],[Unit Price]] * RANDBETWEEN(70,90)/100</f>
        <v>666</v>
      </c>
      <c r="K363" s="12">
        <f ca="1">(Table2[[#This Row],[Unit Price]] - Table2[[#This Row],[Cost per Unit]]) * Table2[[#This Row],[Units Sold]]</f>
        <v>15444</v>
      </c>
    </row>
    <row r="364" spans="1:11" ht="15.6" x14ac:dyDescent="0.3">
      <c r="A364" s="5" cm="1">
        <f t="array" ref="A364">1000 + ROW(364:364)</f>
        <v>1364</v>
      </c>
      <c r="B364" s="6">
        <f t="shared" ca="1" si="25"/>
        <v>45345</v>
      </c>
      <c r="C364" s="5" t="str" cm="1">
        <f t="array" aca="1" ref="C364" ca="1">INDEX({"S001","S002","S003","S004","S005"}, RANDBETWEEN(1,5))</f>
        <v>S002</v>
      </c>
      <c r="D364" s="5" t="str" cm="1">
        <f t="array" aca="1" ref="D364" ca="1">INDEX({"Mumbai","Delhi","Bangalore","Ahmedabad","Chennai"}, RANDBETWEEN(1,5))</f>
        <v>Bangalore</v>
      </c>
      <c r="E364" s="5" t="str" cm="1">
        <f t="array" aca="1" ref="E364" ca="1">INDEX({"Electronics","Groceries","Furniture","Clothing","Stationery"}, RANDBETWEEN(1,5))</f>
        <v>Electronics</v>
      </c>
      <c r="F364" s="5" t="str">
        <f t="shared" ca="1" si="26"/>
        <v>Rice 5kg</v>
      </c>
      <c r="G364" s="8">
        <f t="shared" ca="1" si="27"/>
        <v>20</v>
      </c>
      <c r="H364" s="10">
        <f t="shared" ca="1" si="28"/>
        <v>500</v>
      </c>
      <c r="I364" s="10">
        <f t="shared" ca="1" si="29"/>
        <v>10000</v>
      </c>
      <c r="J364" s="10">
        <f ca="1">Table2[[#This Row],[Unit Price]] * RANDBETWEEN(70,90)/100</f>
        <v>405</v>
      </c>
      <c r="K364" s="12">
        <f ca="1">(Table2[[#This Row],[Unit Price]] - Table2[[#This Row],[Cost per Unit]]) * Table2[[#This Row],[Units Sold]]</f>
        <v>1900</v>
      </c>
    </row>
    <row r="365" spans="1:11" ht="15.6" x14ac:dyDescent="0.3">
      <c r="A365" s="5" cm="1">
        <f t="array" ref="A365">1000 + ROW(365:365)</f>
        <v>1365</v>
      </c>
      <c r="B365" s="6">
        <f t="shared" ca="1" si="25"/>
        <v>45327</v>
      </c>
      <c r="C365" s="5" t="str" cm="1">
        <f t="array" aca="1" ref="C365" ca="1">INDEX({"S001","S002","S003","S004","S005"}, RANDBETWEEN(1,5))</f>
        <v>S001</v>
      </c>
      <c r="D365" s="5" t="str" cm="1">
        <f t="array" aca="1" ref="D365" ca="1">INDEX({"Mumbai","Delhi","Bangalore","Ahmedabad","Chennai"}, RANDBETWEEN(1,5))</f>
        <v>Bangalore</v>
      </c>
      <c r="E365" s="5" t="str" cm="1">
        <f t="array" aca="1" ref="E365" ca="1">INDEX({"Electronics","Groceries","Furniture","Clothing","Stationery"}, RANDBETWEEN(1,5))</f>
        <v>Electronics</v>
      </c>
      <c r="F365" s="5" t="str">
        <f t="shared" ca="1" si="26"/>
        <v>Table</v>
      </c>
      <c r="G365" s="8">
        <f t="shared" ca="1" si="27"/>
        <v>79</v>
      </c>
      <c r="H365" s="10">
        <f t="shared" ca="1" si="28"/>
        <v>500</v>
      </c>
      <c r="I365" s="10">
        <f t="shared" ca="1" si="29"/>
        <v>39500</v>
      </c>
      <c r="J365" s="10">
        <f ca="1">Table2[[#This Row],[Unit Price]] * RANDBETWEEN(70,90)/100</f>
        <v>350</v>
      </c>
      <c r="K365" s="12">
        <f ca="1">(Table2[[#This Row],[Unit Price]] - Table2[[#This Row],[Cost per Unit]]) * Table2[[#This Row],[Units Sold]]</f>
        <v>11850</v>
      </c>
    </row>
    <row r="366" spans="1:11" ht="15.6" x14ac:dyDescent="0.3">
      <c r="A366" s="5" cm="1">
        <f t="array" ref="A366">1000 + ROW(366:366)</f>
        <v>1366</v>
      </c>
      <c r="B366" s="6">
        <f t="shared" ca="1" si="25"/>
        <v>45317</v>
      </c>
      <c r="C366" s="5" t="str" cm="1">
        <f t="array" aca="1" ref="C366" ca="1">INDEX({"S001","S002","S003","S004","S005"}, RANDBETWEEN(1,5))</f>
        <v>S001</v>
      </c>
      <c r="D366" s="5" t="str" cm="1">
        <f t="array" aca="1" ref="D366" ca="1">INDEX({"Mumbai","Delhi","Bangalore","Ahmedabad","Chennai"}, RANDBETWEEN(1,5))</f>
        <v>Ahmedabad</v>
      </c>
      <c r="E366" s="5" t="str" cm="1">
        <f t="array" aca="1" ref="E366" ca="1">INDEX({"Electronics","Groceries","Furniture","Clothing","Stationery"}, RANDBETWEEN(1,5))</f>
        <v>Stationery</v>
      </c>
      <c r="F366" s="5" t="str">
        <f t="shared" ca="1" si="26"/>
        <v>Cooking Oil 1L</v>
      </c>
      <c r="G366" s="8">
        <f t="shared" ca="1" si="27"/>
        <v>4</v>
      </c>
      <c r="H366" s="10">
        <f t="shared" ca="1" si="28"/>
        <v>50</v>
      </c>
      <c r="I366" s="10">
        <f t="shared" ca="1" si="29"/>
        <v>200</v>
      </c>
      <c r="J366" s="10">
        <f ca="1">Table2[[#This Row],[Unit Price]] * RANDBETWEEN(70,90)/100</f>
        <v>38.5</v>
      </c>
      <c r="K366" s="12">
        <f ca="1">(Table2[[#This Row],[Unit Price]] - Table2[[#This Row],[Cost per Unit]]) * Table2[[#This Row],[Units Sold]]</f>
        <v>46</v>
      </c>
    </row>
    <row r="367" spans="1:11" ht="15.6" x14ac:dyDescent="0.3">
      <c r="A367" s="5" cm="1">
        <f t="array" ref="A367">1000 + ROW(367:367)</f>
        <v>1367</v>
      </c>
      <c r="B367" s="6">
        <f t="shared" ca="1" si="25"/>
        <v>45375</v>
      </c>
      <c r="C367" s="5" t="str" cm="1">
        <f t="array" aca="1" ref="C367" ca="1">INDEX({"S001","S002","S003","S004","S005"}, RANDBETWEEN(1,5))</f>
        <v>S002</v>
      </c>
      <c r="D367" s="5" t="str" cm="1">
        <f t="array" aca="1" ref="D367" ca="1">INDEX({"Mumbai","Delhi","Bangalore","Ahmedabad","Chennai"}, RANDBETWEEN(1,5))</f>
        <v>Bangalore</v>
      </c>
      <c r="E367" s="5" t="str" cm="1">
        <f t="array" aca="1" ref="E367" ca="1">INDEX({"Electronics","Groceries","Furniture","Clothing","Stationery"}, RANDBETWEEN(1,5))</f>
        <v>Furniture</v>
      </c>
      <c r="F367" s="5" t="str">
        <f t="shared" ca="1" si="26"/>
        <v>Notebook</v>
      </c>
      <c r="G367" s="8">
        <f t="shared" ca="1" si="27"/>
        <v>13</v>
      </c>
      <c r="H367" s="10">
        <f t="shared" ca="1" si="28"/>
        <v>500</v>
      </c>
      <c r="I367" s="10">
        <f t="shared" ca="1" si="29"/>
        <v>6500</v>
      </c>
      <c r="J367" s="10">
        <f ca="1">Table2[[#This Row],[Unit Price]] * RANDBETWEEN(70,90)/100</f>
        <v>440</v>
      </c>
      <c r="K367" s="12">
        <f ca="1">(Table2[[#This Row],[Unit Price]] - Table2[[#This Row],[Cost per Unit]]) * Table2[[#This Row],[Units Sold]]</f>
        <v>780</v>
      </c>
    </row>
    <row r="368" spans="1:11" ht="15.6" x14ac:dyDescent="0.3">
      <c r="A368" s="5" cm="1">
        <f t="array" ref="A368">1000 + ROW(368:368)</f>
        <v>1368</v>
      </c>
      <c r="B368" s="6">
        <f t="shared" ca="1" si="25"/>
        <v>45363</v>
      </c>
      <c r="C368" s="5" t="str" cm="1">
        <f t="array" aca="1" ref="C368" ca="1">INDEX({"S001","S002","S003","S004","S005"}, RANDBETWEEN(1,5))</f>
        <v>S001</v>
      </c>
      <c r="D368" s="5" t="str" cm="1">
        <f t="array" aca="1" ref="D368" ca="1">INDEX({"Mumbai","Delhi","Bangalore","Ahmedabad","Chennai"}, RANDBETWEEN(1,5))</f>
        <v>Ahmedabad</v>
      </c>
      <c r="E368" s="5" t="str" cm="1">
        <f t="array" aca="1" ref="E368" ca="1">INDEX({"Electronics","Groceries","Furniture","Clothing","Stationery"}, RANDBETWEEN(1,5))</f>
        <v>Furniture</v>
      </c>
      <c r="F368" s="5" t="str">
        <f t="shared" ca="1" si="26"/>
        <v>Laptop</v>
      </c>
      <c r="G368" s="8">
        <f t="shared" ca="1" si="27"/>
        <v>81</v>
      </c>
      <c r="H368" s="10">
        <f t="shared" ca="1" si="28"/>
        <v>250</v>
      </c>
      <c r="I368" s="10">
        <f t="shared" ca="1" si="29"/>
        <v>20250</v>
      </c>
      <c r="J368" s="10">
        <f ca="1">Table2[[#This Row],[Unit Price]] * RANDBETWEEN(70,90)/100</f>
        <v>175</v>
      </c>
      <c r="K368" s="12">
        <f ca="1">(Table2[[#This Row],[Unit Price]] - Table2[[#This Row],[Cost per Unit]]) * Table2[[#This Row],[Units Sold]]</f>
        <v>6075</v>
      </c>
    </row>
    <row r="369" spans="1:11" ht="15.6" x14ac:dyDescent="0.3">
      <c r="A369" s="5" cm="1">
        <f t="array" ref="A369">1000 + ROW(369:369)</f>
        <v>1369</v>
      </c>
      <c r="B369" s="6">
        <f t="shared" ca="1" si="25"/>
        <v>45299</v>
      </c>
      <c r="C369" s="5" t="str" cm="1">
        <f t="array" aca="1" ref="C369" ca="1">INDEX({"S001","S002","S003","S004","S005"}, RANDBETWEEN(1,5))</f>
        <v>S002</v>
      </c>
      <c r="D369" s="5" t="str" cm="1">
        <f t="array" aca="1" ref="D369" ca="1">INDEX({"Mumbai","Delhi","Bangalore","Ahmedabad","Chennai"}, RANDBETWEEN(1,5))</f>
        <v>Bangalore</v>
      </c>
      <c r="E369" s="5" t="str" cm="1">
        <f t="array" aca="1" ref="E369" ca="1">INDEX({"Electronics","Groceries","Furniture","Clothing","Stationery"}, RANDBETWEEN(1,5))</f>
        <v>Stationery</v>
      </c>
      <c r="F369" s="5" t="str">
        <f t="shared" ca="1" si="26"/>
        <v>Table</v>
      </c>
      <c r="G369" s="8">
        <f t="shared" ca="1" si="27"/>
        <v>43</v>
      </c>
      <c r="H369" s="10">
        <f t="shared" ca="1" si="28"/>
        <v>1200</v>
      </c>
      <c r="I369" s="10">
        <f t="shared" ca="1" si="29"/>
        <v>51600</v>
      </c>
      <c r="J369" s="10">
        <f ca="1">Table2[[#This Row],[Unit Price]] * RANDBETWEEN(70,90)/100</f>
        <v>1080</v>
      </c>
      <c r="K369" s="12">
        <f ca="1">(Table2[[#This Row],[Unit Price]] - Table2[[#This Row],[Cost per Unit]]) * Table2[[#This Row],[Units Sold]]</f>
        <v>5160</v>
      </c>
    </row>
    <row r="370" spans="1:11" ht="15.6" x14ac:dyDescent="0.3">
      <c r="A370" s="5" cm="1">
        <f t="array" ref="A370">1000 + ROW(370:370)</f>
        <v>1370</v>
      </c>
      <c r="B370" s="6">
        <f t="shared" ca="1" si="25"/>
        <v>45309</v>
      </c>
      <c r="C370" s="5" t="str" cm="1">
        <f t="array" aca="1" ref="C370" ca="1">INDEX({"S001","S002","S003","S004","S005"}, RANDBETWEEN(1,5))</f>
        <v>S003</v>
      </c>
      <c r="D370" s="5" t="str" cm="1">
        <f t="array" aca="1" ref="D370" ca="1">INDEX({"Mumbai","Delhi","Bangalore","Ahmedabad","Chennai"}, RANDBETWEEN(1,5))</f>
        <v>Ahmedabad</v>
      </c>
      <c r="E370" s="5" t="str" cm="1">
        <f t="array" aca="1" ref="E370" ca="1">INDEX({"Electronics","Groceries","Furniture","Clothing","Stationery"}, RANDBETWEEN(1,5))</f>
        <v>Electronics</v>
      </c>
      <c r="F370" s="5" t="str">
        <f t="shared" ca="1" si="26"/>
        <v>Laptop</v>
      </c>
      <c r="G370" s="8">
        <f t="shared" ca="1" si="27"/>
        <v>2</v>
      </c>
      <c r="H370" s="10">
        <f t="shared" ca="1" si="28"/>
        <v>1200</v>
      </c>
      <c r="I370" s="10">
        <f t="shared" ca="1" si="29"/>
        <v>2400</v>
      </c>
      <c r="J370" s="10">
        <f ca="1">Table2[[#This Row],[Unit Price]] * RANDBETWEEN(70,90)/100</f>
        <v>888</v>
      </c>
      <c r="K370" s="12">
        <f ca="1">(Table2[[#This Row],[Unit Price]] - Table2[[#This Row],[Cost per Unit]]) * Table2[[#This Row],[Units Sold]]</f>
        <v>624</v>
      </c>
    </row>
    <row r="371" spans="1:11" ht="15.6" x14ac:dyDescent="0.3">
      <c r="A371" s="5" cm="1">
        <f t="array" ref="A371">1000 + ROW(371:371)</f>
        <v>1371</v>
      </c>
      <c r="B371" s="6">
        <f t="shared" ca="1" si="25"/>
        <v>45354</v>
      </c>
      <c r="C371" s="5" t="str" cm="1">
        <f t="array" aca="1" ref="C371" ca="1">INDEX({"S001","S002","S003","S004","S005"}, RANDBETWEEN(1,5))</f>
        <v>S003</v>
      </c>
      <c r="D371" s="5" t="str" cm="1">
        <f t="array" aca="1" ref="D371" ca="1">INDEX({"Mumbai","Delhi","Bangalore","Ahmedabad","Chennai"}, RANDBETWEEN(1,5))</f>
        <v>Delhi</v>
      </c>
      <c r="E371" s="5" t="str" cm="1">
        <f t="array" aca="1" ref="E371" ca="1">INDEX({"Electronics","Groceries","Furniture","Clothing","Stationery"}, RANDBETWEEN(1,5))</f>
        <v>Stationery</v>
      </c>
      <c r="F371" s="5" t="str">
        <f t="shared" ca="1" si="26"/>
        <v>Desk Lamp</v>
      </c>
      <c r="G371" s="8">
        <f t="shared" ca="1" si="27"/>
        <v>33</v>
      </c>
      <c r="H371" s="10">
        <f t="shared" ca="1" si="28"/>
        <v>1200</v>
      </c>
      <c r="I371" s="10">
        <f t="shared" ca="1" si="29"/>
        <v>39600</v>
      </c>
      <c r="J371" s="10">
        <f ca="1">Table2[[#This Row],[Unit Price]] * RANDBETWEEN(70,90)/100</f>
        <v>972</v>
      </c>
      <c r="K371" s="12">
        <f ca="1">(Table2[[#This Row],[Unit Price]] - Table2[[#This Row],[Cost per Unit]]) * Table2[[#This Row],[Units Sold]]</f>
        <v>7524</v>
      </c>
    </row>
    <row r="372" spans="1:11" ht="15.6" x14ac:dyDescent="0.3">
      <c r="A372" s="5" cm="1">
        <f t="array" ref="A372">1000 + ROW(372:372)</f>
        <v>1372</v>
      </c>
      <c r="B372" s="6">
        <f t="shared" ca="1" si="25"/>
        <v>45355</v>
      </c>
      <c r="C372" s="5" t="str" cm="1">
        <f t="array" aca="1" ref="C372" ca="1">INDEX({"S001","S002","S003","S004","S005"}, RANDBETWEEN(1,5))</f>
        <v>S003</v>
      </c>
      <c r="D372" s="5" t="str" cm="1">
        <f t="array" aca="1" ref="D372" ca="1">INDEX({"Mumbai","Delhi","Bangalore","Ahmedabad","Chennai"}, RANDBETWEEN(1,5))</f>
        <v>Chennai</v>
      </c>
      <c r="E372" s="5" t="str" cm="1">
        <f t="array" aca="1" ref="E372" ca="1">INDEX({"Electronics","Groceries","Furniture","Clothing","Stationery"}, RANDBETWEEN(1,5))</f>
        <v>Electronics</v>
      </c>
      <c r="F372" s="5" t="str">
        <f t="shared" ca="1" si="26"/>
        <v>Office Chair</v>
      </c>
      <c r="G372" s="8">
        <f t="shared" ca="1" si="27"/>
        <v>40</v>
      </c>
      <c r="H372" s="10">
        <f t="shared" ca="1" si="28"/>
        <v>900</v>
      </c>
      <c r="I372" s="10">
        <f t="shared" ca="1" si="29"/>
        <v>36000</v>
      </c>
      <c r="J372" s="10">
        <f ca="1">Table2[[#This Row],[Unit Price]] * RANDBETWEEN(70,90)/100</f>
        <v>639</v>
      </c>
      <c r="K372" s="12">
        <f ca="1">(Table2[[#This Row],[Unit Price]] - Table2[[#This Row],[Cost per Unit]]) * Table2[[#This Row],[Units Sold]]</f>
        <v>10440</v>
      </c>
    </row>
    <row r="373" spans="1:11" ht="15.6" x14ac:dyDescent="0.3">
      <c r="A373" s="5" cm="1">
        <f t="array" ref="A373">1000 + ROW(373:373)</f>
        <v>1373</v>
      </c>
      <c r="B373" s="6">
        <f t="shared" ca="1" si="25"/>
        <v>45345</v>
      </c>
      <c r="C373" s="5" t="str" cm="1">
        <f t="array" aca="1" ref="C373" ca="1">INDEX({"S001","S002","S003","S004","S005"}, RANDBETWEEN(1,5))</f>
        <v>S001</v>
      </c>
      <c r="D373" s="5" t="str" cm="1">
        <f t="array" aca="1" ref="D373" ca="1">INDEX({"Mumbai","Delhi","Bangalore","Ahmedabad","Chennai"}, RANDBETWEEN(1,5))</f>
        <v>Bangalore</v>
      </c>
      <c r="E373" s="5" t="str" cm="1">
        <f t="array" aca="1" ref="E373" ca="1">INDEX({"Electronics","Groceries","Furniture","Clothing","Stationery"}, RANDBETWEEN(1,5))</f>
        <v>Groceries</v>
      </c>
      <c r="F373" s="5" t="str">
        <f t="shared" ca="1" si="26"/>
        <v>Laptop</v>
      </c>
      <c r="G373" s="8">
        <f t="shared" ca="1" si="27"/>
        <v>66</v>
      </c>
      <c r="H373" s="10">
        <f t="shared" ca="1" si="28"/>
        <v>15000</v>
      </c>
      <c r="I373" s="10">
        <f t="shared" ca="1" si="29"/>
        <v>990000</v>
      </c>
      <c r="J373" s="10">
        <f ca="1">Table2[[#This Row],[Unit Price]] * RANDBETWEEN(70,90)/100</f>
        <v>13050</v>
      </c>
      <c r="K373" s="12">
        <f ca="1">(Table2[[#This Row],[Unit Price]] - Table2[[#This Row],[Cost per Unit]]) * Table2[[#This Row],[Units Sold]]</f>
        <v>128700</v>
      </c>
    </row>
    <row r="374" spans="1:11" ht="15.6" x14ac:dyDescent="0.3">
      <c r="A374" s="5" cm="1">
        <f t="array" ref="A374">1000 + ROW(374:374)</f>
        <v>1374</v>
      </c>
      <c r="B374" s="6">
        <f t="shared" ca="1" si="25"/>
        <v>45346</v>
      </c>
      <c r="C374" s="5" t="str" cm="1">
        <f t="array" aca="1" ref="C374" ca="1">INDEX({"S001","S002","S003","S004","S005"}, RANDBETWEEN(1,5))</f>
        <v>S001</v>
      </c>
      <c r="D374" s="5" t="str" cm="1">
        <f t="array" aca="1" ref="D374" ca="1">INDEX({"Mumbai","Delhi","Bangalore","Ahmedabad","Chennai"}, RANDBETWEEN(1,5))</f>
        <v>Delhi</v>
      </c>
      <c r="E374" s="5" t="str" cm="1">
        <f t="array" aca="1" ref="E374" ca="1">INDEX({"Electronics","Groceries","Furniture","Clothing","Stationery"}, RANDBETWEEN(1,5))</f>
        <v>Stationery</v>
      </c>
      <c r="F374" s="5" t="str">
        <f t="shared" ca="1" si="26"/>
        <v>Laptop</v>
      </c>
      <c r="G374" s="8">
        <f t="shared" ca="1" si="27"/>
        <v>47</v>
      </c>
      <c r="H374" s="10">
        <f t="shared" ca="1" si="28"/>
        <v>700</v>
      </c>
      <c r="I374" s="10">
        <f t="shared" ca="1" si="29"/>
        <v>32900</v>
      </c>
      <c r="J374" s="10">
        <f ca="1">Table2[[#This Row],[Unit Price]] * RANDBETWEEN(70,90)/100</f>
        <v>567</v>
      </c>
      <c r="K374" s="12">
        <f ca="1">(Table2[[#This Row],[Unit Price]] - Table2[[#This Row],[Cost per Unit]]) * Table2[[#This Row],[Units Sold]]</f>
        <v>6251</v>
      </c>
    </row>
    <row r="375" spans="1:11" ht="15.6" x14ac:dyDescent="0.3">
      <c r="A375" s="5" cm="1">
        <f t="array" ref="A375">1000 + ROW(375:375)</f>
        <v>1375</v>
      </c>
      <c r="B375" s="6">
        <f t="shared" ca="1" si="25"/>
        <v>45352</v>
      </c>
      <c r="C375" s="5" t="str" cm="1">
        <f t="array" aca="1" ref="C375" ca="1">INDEX({"S001","S002","S003","S004","S005"}, RANDBETWEEN(1,5))</f>
        <v>S001</v>
      </c>
      <c r="D375" s="5" t="str" cm="1">
        <f t="array" aca="1" ref="D375" ca="1">INDEX({"Mumbai","Delhi","Bangalore","Ahmedabad","Chennai"}, RANDBETWEEN(1,5))</f>
        <v>Bangalore</v>
      </c>
      <c r="E375" s="5" t="str" cm="1">
        <f t="array" aca="1" ref="E375" ca="1">INDEX({"Electronics","Groceries","Furniture","Clothing","Stationery"}, RANDBETWEEN(1,5))</f>
        <v>Electronics</v>
      </c>
      <c r="F375" s="5" t="str">
        <f t="shared" ca="1" si="26"/>
        <v>Table</v>
      </c>
      <c r="G375" s="8">
        <f t="shared" ca="1" si="27"/>
        <v>13</v>
      </c>
      <c r="H375" s="10">
        <f t="shared" ca="1" si="28"/>
        <v>700</v>
      </c>
      <c r="I375" s="10">
        <f t="shared" ca="1" si="29"/>
        <v>9100</v>
      </c>
      <c r="J375" s="10">
        <f ca="1">Table2[[#This Row],[Unit Price]] * RANDBETWEEN(70,90)/100</f>
        <v>616</v>
      </c>
      <c r="K375" s="12">
        <f ca="1">(Table2[[#This Row],[Unit Price]] - Table2[[#This Row],[Cost per Unit]]) * Table2[[#This Row],[Units Sold]]</f>
        <v>1092</v>
      </c>
    </row>
    <row r="376" spans="1:11" ht="15.6" x14ac:dyDescent="0.3">
      <c r="A376" s="5" cm="1">
        <f t="array" ref="A376">1000 + ROW(376:376)</f>
        <v>1376</v>
      </c>
      <c r="B376" s="6">
        <f t="shared" ca="1" si="25"/>
        <v>45363</v>
      </c>
      <c r="C376" s="5" t="str" cm="1">
        <f t="array" aca="1" ref="C376" ca="1">INDEX({"S001","S002","S003","S004","S005"}, RANDBETWEEN(1,5))</f>
        <v>S001</v>
      </c>
      <c r="D376" s="5" t="str" cm="1">
        <f t="array" aca="1" ref="D376" ca="1">INDEX({"Mumbai","Delhi","Bangalore","Ahmedabad","Chennai"}, RANDBETWEEN(1,5))</f>
        <v>Chennai</v>
      </c>
      <c r="E376" s="5" t="str" cm="1">
        <f t="array" aca="1" ref="E376" ca="1">INDEX({"Electronics","Groceries","Furniture","Clothing","Stationery"}, RANDBETWEEN(1,5))</f>
        <v>Electronics</v>
      </c>
      <c r="F376" s="5" t="str">
        <f t="shared" ca="1" si="26"/>
        <v>Notebook</v>
      </c>
      <c r="G376" s="8">
        <f t="shared" ca="1" si="27"/>
        <v>53</v>
      </c>
      <c r="H376" s="10">
        <f t="shared" ca="1" si="28"/>
        <v>150</v>
      </c>
      <c r="I376" s="10">
        <f t="shared" ca="1" si="29"/>
        <v>7950</v>
      </c>
      <c r="J376" s="10">
        <f ca="1">Table2[[#This Row],[Unit Price]] * RANDBETWEEN(70,90)/100</f>
        <v>114</v>
      </c>
      <c r="K376" s="12">
        <f ca="1">(Table2[[#This Row],[Unit Price]] - Table2[[#This Row],[Cost per Unit]]) * Table2[[#This Row],[Units Sold]]</f>
        <v>1908</v>
      </c>
    </row>
    <row r="377" spans="1:11" ht="15.6" x14ac:dyDescent="0.3">
      <c r="A377" s="5" cm="1">
        <f t="array" ref="A377">1000 + ROW(377:377)</f>
        <v>1377</v>
      </c>
      <c r="B377" s="6">
        <f t="shared" ca="1" si="25"/>
        <v>45379</v>
      </c>
      <c r="C377" s="5" t="str" cm="1">
        <f t="array" aca="1" ref="C377" ca="1">INDEX({"S001","S002","S003","S004","S005"}, RANDBETWEEN(1,5))</f>
        <v>S004</v>
      </c>
      <c r="D377" s="5" t="str" cm="1">
        <f t="array" aca="1" ref="D377" ca="1">INDEX({"Mumbai","Delhi","Bangalore","Ahmedabad","Chennai"}, RANDBETWEEN(1,5))</f>
        <v>Bangalore</v>
      </c>
      <c r="E377" s="5" t="str" cm="1">
        <f t="array" aca="1" ref="E377" ca="1">INDEX({"Electronics","Groceries","Furniture","Clothing","Stationery"}, RANDBETWEEN(1,5))</f>
        <v>Furniture</v>
      </c>
      <c r="F377" s="5" t="str">
        <f t="shared" ca="1" si="26"/>
        <v>T-shirt</v>
      </c>
      <c r="G377" s="8">
        <f t="shared" ca="1" si="27"/>
        <v>84</v>
      </c>
      <c r="H377" s="10">
        <f t="shared" ca="1" si="28"/>
        <v>300</v>
      </c>
      <c r="I377" s="10">
        <f t="shared" ca="1" si="29"/>
        <v>25200</v>
      </c>
      <c r="J377" s="10">
        <f ca="1">Table2[[#This Row],[Unit Price]] * RANDBETWEEN(70,90)/100</f>
        <v>258</v>
      </c>
      <c r="K377" s="12">
        <f ca="1">(Table2[[#This Row],[Unit Price]] - Table2[[#This Row],[Cost per Unit]]) * Table2[[#This Row],[Units Sold]]</f>
        <v>3528</v>
      </c>
    </row>
    <row r="378" spans="1:11" ht="15.6" x14ac:dyDescent="0.3">
      <c r="A378" s="5" cm="1">
        <f t="array" ref="A378">1000 + ROW(378:378)</f>
        <v>1378</v>
      </c>
      <c r="B378" s="6">
        <f t="shared" ca="1" si="25"/>
        <v>45368</v>
      </c>
      <c r="C378" s="5" t="str" cm="1">
        <f t="array" aca="1" ref="C378" ca="1">INDEX({"S001","S002","S003","S004","S005"}, RANDBETWEEN(1,5))</f>
        <v>S003</v>
      </c>
      <c r="D378" s="5" t="str" cm="1">
        <f t="array" aca="1" ref="D378" ca="1">INDEX({"Mumbai","Delhi","Bangalore","Ahmedabad","Chennai"}, RANDBETWEEN(1,5))</f>
        <v>Mumbai</v>
      </c>
      <c r="E378" s="5" t="str" cm="1">
        <f t="array" aca="1" ref="E378" ca="1">INDEX({"Electronics","Groceries","Furniture","Clothing","Stationery"}, RANDBETWEEN(1,5))</f>
        <v>Furniture</v>
      </c>
      <c r="F378" s="5" t="str">
        <f t="shared" ca="1" si="26"/>
        <v>Laptop</v>
      </c>
      <c r="G378" s="8">
        <f t="shared" ca="1" si="27"/>
        <v>34</v>
      </c>
      <c r="H378" s="10">
        <f t="shared" ca="1" si="28"/>
        <v>900</v>
      </c>
      <c r="I378" s="10">
        <f t="shared" ca="1" si="29"/>
        <v>30600</v>
      </c>
      <c r="J378" s="10">
        <f ca="1">Table2[[#This Row],[Unit Price]] * RANDBETWEEN(70,90)/100</f>
        <v>792</v>
      </c>
      <c r="K378" s="12">
        <f ca="1">(Table2[[#This Row],[Unit Price]] - Table2[[#This Row],[Cost per Unit]]) * Table2[[#This Row],[Units Sold]]</f>
        <v>3672</v>
      </c>
    </row>
    <row r="379" spans="1:11" ht="15.6" x14ac:dyDescent="0.3">
      <c r="A379" s="5" cm="1">
        <f t="array" ref="A379">1000 + ROW(379:379)</f>
        <v>1379</v>
      </c>
      <c r="B379" s="6">
        <f t="shared" ca="1" si="25"/>
        <v>45309</v>
      </c>
      <c r="C379" s="5" t="str" cm="1">
        <f t="array" aca="1" ref="C379" ca="1">INDEX({"S001","S002","S003","S004","S005"}, RANDBETWEEN(1,5))</f>
        <v>S002</v>
      </c>
      <c r="D379" s="5" t="str" cm="1">
        <f t="array" aca="1" ref="D379" ca="1">INDEX({"Mumbai","Delhi","Bangalore","Ahmedabad","Chennai"}, RANDBETWEEN(1,5))</f>
        <v>Mumbai</v>
      </c>
      <c r="E379" s="5" t="str" cm="1">
        <f t="array" aca="1" ref="E379" ca="1">INDEX({"Electronics","Groceries","Furniture","Clothing","Stationery"}, RANDBETWEEN(1,5))</f>
        <v>Electronics</v>
      </c>
      <c r="F379" s="5" t="str">
        <f t="shared" ca="1" si="26"/>
        <v>Cooking Oil 1L</v>
      </c>
      <c r="G379" s="8">
        <f t="shared" ca="1" si="27"/>
        <v>10</v>
      </c>
      <c r="H379" s="10">
        <f t="shared" ca="1" si="28"/>
        <v>300</v>
      </c>
      <c r="I379" s="10">
        <f t="shared" ca="1" si="29"/>
        <v>3000</v>
      </c>
      <c r="J379" s="10">
        <f ca="1">Table2[[#This Row],[Unit Price]] * RANDBETWEEN(70,90)/100</f>
        <v>210</v>
      </c>
      <c r="K379" s="12">
        <f ca="1">(Table2[[#This Row],[Unit Price]] - Table2[[#This Row],[Cost per Unit]]) * Table2[[#This Row],[Units Sold]]</f>
        <v>900</v>
      </c>
    </row>
    <row r="380" spans="1:11" ht="15.6" x14ac:dyDescent="0.3">
      <c r="A380" s="5" cm="1">
        <f t="array" ref="A380">1000 + ROW(380:380)</f>
        <v>1380</v>
      </c>
      <c r="B380" s="6">
        <f t="shared" ca="1" si="25"/>
        <v>45370</v>
      </c>
      <c r="C380" s="5" t="str" cm="1">
        <f t="array" aca="1" ref="C380" ca="1">INDEX({"S001","S002","S003","S004","S005"}, RANDBETWEEN(1,5))</f>
        <v>S001</v>
      </c>
      <c r="D380" s="5" t="str" cm="1">
        <f t="array" aca="1" ref="D380" ca="1">INDEX({"Mumbai","Delhi","Bangalore","Ahmedabad","Chennai"}, RANDBETWEEN(1,5))</f>
        <v>Delhi</v>
      </c>
      <c r="E380" s="5" t="str" cm="1">
        <f t="array" aca="1" ref="E380" ca="1">INDEX({"Electronics","Groceries","Furniture","Clothing","Stationery"}, RANDBETWEEN(1,5))</f>
        <v>Clothing</v>
      </c>
      <c r="F380" s="5" t="str">
        <f t="shared" ca="1" si="26"/>
        <v>Rice 5kg</v>
      </c>
      <c r="G380" s="8">
        <f t="shared" ca="1" si="27"/>
        <v>48</v>
      </c>
      <c r="H380" s="10">
        <f t="shared" ca="1" si="28"/>
        <v>50</v>
      </c>
      <c r="I380" s="10">
        <f t="shared" ca="1" si="29"/>
        <v>2400</v>
      </c>
      <c r="J380" s="10">
        <f ca="1">Table2[[#This Row],[Unit Price]] * RANDBETWEEN(70,90)/100</f>
        <v>41.5</v>
      </c>
      <c r="K380" s="12">
        <f ca="1">(Table2[[#This Row],[Unit Price]] - Table2[[#This Row],[Cost per Unit]]) * Table2[[#This Row],[Units Sold]]</f>
        <v>408</v>
      </c>
    </row>
    <row r="381" spans="1:11" ht="15.6" x14ac:dyDescent="0.3">
      <c r="A381" s="5" cm="1">
        <f t="array" ref="A381">1000 + ROW(381:381)</f>
        <v>1381</v>
      </c>
      <c r="B381" s="6">
        <f t="shared" ca="1" si="25"/>
        <v>45329</v>
      </c>
      <c r="C381" s="5" t="str" cm="1">
        <f t="array" aca="1" ref="C381" ca="1">INDEX({"S001","S002","S003","S004","S005"}, RANDBETWEEN(1,5))</f>
        <v>S001</v>
      </c>
      <c r="D381" s="5" t="str" cm="1">
        <f t="array" aca="1" ref="D381" ca="1">INDEX({"Mumbai","Delhi","Bangalore","Ahmedabad","Chennai"}, RANDBETWEEN(1,5))</f>
        <v>Delhi</v>
      </c>
      <c r="E381" s="5" t="str" cm="1">
        <f t="array" aca="1" ref="E381" ca="1">INDEX({"Electronics","Groceries","Furniture","Clothing","Stationery"}, RANDBETWEEN(1,5))</f>
        <v>Furniture</v>
      </c>
      <c r="F381" s="5" t="str">
        <f t="shared" ca="1" si="26"/>
        <v>Office Chair</v>
      </c>
      <c r="G381" s="8">
        <f t="shared" ca="1" si="27"/>
        <v>59</v>
      </c>
      <c r="H381" s="10">
        <f t="shared" ca="1" si="28"/>
        <v>500</v>
      </c>
      <c r="I381" s="10">
        <f t="shared" ca="1" si="29"/>
        <v>29500</v>
      </c>
      <c r="J381" s="10">
        <f ca="1">Table2[[#This Row],[Unit Price]] * RANDBETWEEN(70,90)/100</f>
        <v>405</v>
      </c>
      <c r="K381" s="12">
        <f ca="1">(Table2[[#This Row],[Unit Price]] - Table2[[#This Row],[Cost per Unit]]) * Table2[[#This Row],[Units Sold]]</f>
        <v>5605</v>
      </c>
    </row>
    <row r="382" spans="1:11" ht="15.6" x14ac:dyDescent="0.3">
      <c r="A382" s="5" cm="1">
        <f t="array" ref="A382">1000 + ROW(382:382)</f>
        <v>1382</v>
      </c>
      <c r="B382" s="6">
        <f t="shared" ca="1" si="25"/>
        <v>45312</v>
      </c>
      <c r="C382" s="5" t="str" cm="1">
        <f t="array" aca="1" ref="C382" ca="1">INDEX({"S001","S002","S003","S004","S005"}, RANDBETWEEN(1,5))</f>
        <v>S004</v>
      </c>
      <c r="D382" s="5" t="str" cm="1">
        <f t="array" aca="1" ref="D382" ca="1">INDEX({"Mumbai","Delhi","Bangalore","Ahmedabad","Chennai"}, RANDBETWEEN(1,5))</f>
        <v>Chennai</v>
      </c>
      <c r="E382" s="5" t="str" cm="1">
        <f t="array" aca="1" ref="E382" ca="1">INDEX({"Electronics","Groceries","Furniture","Clothing","Stationery"}, RANDBETWEEN(1,5))</f>
        <v>Clothing</v>
      </c>
      <c r="F382" s="5" t="str">
        <f t="shared" ca="1" si="26"/>
        <v>Notebook</v>
      </c>
      <c r="G382" s="8">
        <f t="shared" ca="1" si="27"/>
        <v>69</v>
      </c>
      <c r="H382" s="10">
        <f t="shared" ca="1" si="28"/>
        <v>50</v>
      </c>
      <c r="I382" s="10">
        <f t="shared" ca="1" si="29"/>
        <v>3450</v>
      </c>
      <c r="J382" s="10">
        <f ca="1">Table2[[#This Row],[Unit Price]] * RANDBETWEEN(70,90)/100</f>
        <v>43</v>
      </c>
      <c r="K382" s="12">
        <f ca="1">(Table2[[#This Row],[Unit Price]] - Table2[[#This Row],[Cost per Unit]]) * Table2[[#This Row],[Units Sold]]</f>
        <v>483</v>
      </c>
    </row>
    <row r="383" spans="1:11" ht="15.6" x14ac:dyDescent="0.3">
      <c r="A383" s="5" cm="1">
        <f t="array" ref="A383">1000 + ROW(383:383)</f>
        <v>1383</v>
      </c>
      <c r="B383" s="6">
        <f t="shared" ca="1" si="25"/>
        <v>45345</v>
      </c>
      <c r="C383" s="5" t="str" cm="1">
        <f t="array" aca="1" ref="C383" ca="1">INDEX({"S001","S002","S003","S004","S005"}, RANDBETWEEN(1,5))</f>
        <v>S003</v>
      </c>
      <c r="D383" s="5" t="str" cm="1">
        <f t="array" aca="1" ref="D383" ca="1">INDEX({"Mumbai","Delhi","Bangalore","Ahmedabad","Chennai"}, RANDBETWEEN(1,5))</f>
        <v>Mumbai</v>
      </c>
      <c r="E383" s="5" t="str" cm="1">
        <f t="array" aca="1" ref="E383" ca="1">INDEX({"Electronics","Groceries","Furniture","Clothing","Stationery"}, RANDBETWEEN(1,5))</f>
        <v>Clothing</v>
      </c>
      <c r="F383" s="5" t="str">
        <f t="shared" ca="1" si="26"/>
        <v>Shampoo</v>
      </c>
      <c r="G383" s="8">
        <f t="shared" ca="1" si="27"/>
        <v>18</v>
      </c>
      <c r="H383" s="10">
        <f t="shared" ca="1" si="28"/>
        <v>50</v>
      </c>
      <c r="I383" s="10">
        <f t="shared" ca="1" si="29"/>
        <v>900</v>
      </c>
      <c r="J383" s="10">
        <f ca="1">Table2[[#This Row],[Unit Price]] * RANDBETWEEN(70,90)/100</f>
        <v>43</v>
      </c>
      <c r="K383" s="12">
        <f ca="1">(Table2[[#This Row],[Unit Price]] - Table2[[#This Row],[Cost per Unit]]) * Table2[[#This Row],[Units Sold]]</f>
        <v>126</v>
      </c>
    </row>
    <row r="384" spans="1:11" ht="15.6" x14ac:dyDescent="0.3">
      <c r="A384" s="5" cm="1">
        <f t="array" ref="A384">1000 + ROW(384:384)</f>
        <v>1384</v>
      </c>
      <c r="B384" s="6">
        <f t="shared" ca="1" si="25"/>
        <v>45335</v>
      </c>
      <c r="C384" s="5" t="str" cm="1">
        <f t="array" aca="1" ref="C384" ca="1">INDEX({"S001","S002","S003","S004","S005"}, RANDBETWEEN(1,5))</f>
        <v>S005</v>
      </c>
      <c r="D384" s="5" t="str" cm="1">
        <f t="array" aca="1" ref="D384" ca="1">INDEX({"Mumbai","Delhi","Bangalore","Ahmedabad","Chennai"}, RANDBETWEEN(1,5))</f>
        <v>Delhi</v>
      </c>
      <c r="E384" s="5" t="str" cm="1">
        <f t="array" aca="1" ref="E384" ca="1">INDEX({"Electronics","Groceries","Furniture","Clothing","Stationery"}, RANDBETWEEN(1,5))</f>
        <v>Stationery</v>
      </c>
      <c r="F384" s="5" t="str">
        <f t="shared" ca="1" si="26"/>
        <v>Shampoo</v>
      </c>
      <c r="G384" s="8">
        <f t="shared" ca="1" si="27"/>
        <v>79</v>
      </c>
      <c r="H384" s="10">
        <f t="shared" ca="1" si="28"/>
        <v>50</v>
      </c>
      <c r="I384" s="10">
        <f t="shared" ca="1" si="29"/>
        <v>3950</v>
      </c>
      <c r="J384" s="10">
        <f ca="1">Table2[[#This Row],[Unit Price]] * RANDBETWEEN(70,90)/100</f>
        <v>39</v>
      </c>
      <c r="K384" s="12">
        <f ca="1">(Table2[[#This Row],[Unit Price]] - Table2[[#This Row],[Cost per Unit]]) * Table2[[#This Row],[Units Sold]]</f>
        <v>869</v>
      </c>
    </row>
    <row r="385" spans="1:11" ht="15.6" x14ac:dyDescent="0.3">
      <c r="A385" s="5" cm="1">
        <f t="array" ref="A385">1000 + ROW(385:385)</f>
        <v>1385</v>
      </c>
      <c r="B385" s="6">
        <f t="shared" ca="1" si="25"/>
        <v>45347</v>
      </c>
      <c r="C385" s="5" t="str" cm="1">
        <f t="array" aca="1" ref="C385" ca="1">INDEX({"S001","S002","S003","S004","S005"}, RANDBETWEEN(1,5))</f>
        <v>S001</v>
      </c>
      <c r="D385" s="5" t="str" cm="1">
        <f t="array" aca="1" ref="D385" ca="1">INDEX({"Mumbai","Delhi","Bangalore","Ahmedabad","Chennai"}, RANDBETWEEN(1,5))</f>
        <v>Mumbai</v>
      </c>
      <c r="E385" s="5" t="str" cm="1">
        <f t="array" aca="1" ref="E385" ca="1">INDEX({"Electronics","Groceries","Furniture","Clothing","Stationery"}, RANDBETWEEN(1,5))</f>
        <v>Stationery</v>
      </c>
      <c r="F385" s="5" t="str">
        <f t="shared" ca="1" si="26"/>
        <v>Office Chair</v>
      </c>
      <c r="G385" s="8">
        <f t="shared" ca="1" si="27"/>
        <v>88</v>
      </c>
      <c r="H385" s="10">
        <f t="shared" ca="1" si="28"/>
        <v>900</v>
      </c>
      <c r="I385" s="10">
        <f t="shared" ca="1" si="29"/>
        <v>79200</v>
      </c>
      <c r="J385" s="10">
        <f ca="1">Table2[[#This Row],[Unit Price]] * RANDBETWEEN(70,90)/100</f>
        <v>774</v>
      </c>
      <c r="K385" s="12">
        <f ca="1">(Table2[[#This Row],[Unit Price]] - Table2[[#This Row],[Cost per Unit]]) * Table2[[#This Row],[Units Sold]]</f>
        <v>11088</v>
      </c>
    </row>
    <row r="386" spans="1:11" ht="15.6" x14ac:dyDescent="0.3">
      <c r="A386" s="5" cm="1">
        <f t="array" ref="A386">1000 + ROW(386:386)</f>
        <v>1386</v>
      </c>
      <c r="B386" s="6">
        <f t="shared" ref="B386:B449" ca="1" si="30">RANDBETWEEN(DATE(2024,1,1), DATE(2024,3,31))</f>
        <v>45381</v>
      </c>
      <c r="C386" s="5" t="str" cm="1">
        <f t="array" aca="1" ref="C386" ca="1">INDEX({"S001","S002","S003","S004","S005"}, RANDBETWEEN(1,5))</f>
        <v>S004</v>
      </c>
      <c r="D386" s="5" t="str" cm="1">
        <f t="array" aca="1" ref="D386" ca="1">INDEX({"Mumbai","Delhi","Bangalore","Ahmedabad","Chennai"}, RANDBETWEEN(1,5))</f>
        <v>Bangalore</v>
      </c>
      <c r="E386" s="5" t="str" cm="1">
        <f t="array" aca="1" ref="E386" ca="1">INDEX({"Electronics","Groceries","Furniture","Clothing","Stationery"}, RANDBETWEEN(1,5))</f>
        <v>Clothing</v>
      </c>
      <c r="F386" s="5" t="str">
        <f t="shared" ref="F386:F449" ca="1" si="31">CHOOSE(RANDBETWEEN(1,10),
 "Smartphone","Laptop","Rice 5kg","Cooking Oil 1L",
 "Office Chair","Table","T-shirt","Notebook",
 "Desk Lamp","Shampoo")</f>
        <v>Table</v>
      </c>
      <c r="G386" s="8">
        <f t="shared" ref="G386:G449" ca="1" si="32">RANDBETWEEN(1,100)</f>
        <v>26</v>
      </c>
      <c r="H386" s="10">
        <f t="shared" ref="H386:H449" ca="1" si="33">CHOOSE(RANDBETWEEN(1,10), 15000, 30000, 250, 500, 1200, 700, 300, 50, 900, 150)</f>
        <v>15000</v>
      </c>
      <c r="I386" s="10">
        <f t="shared" ref="I386:I449" ca="1" si="34">G386 * H386</f>
        <v>390000</v>
      </c>
      <c r="J386" s="10">
        <f ca="1">Table2[[#This Row],[Unit Price]] * RANDBETWEEN(70,90)/100</f>
        <v>10950</v>
      </c>
      <c r="K386" s="12">
        <f ca="1">(Table2[[#This Row],[Unit Price]] - Table2[[#This Row],[Cost per Unit]]) * Table2[[#This Row],[Units Sold]]</f>
        <v>105300</v>
      </c>
    </row>
    <row r="387" spans="1:11" ht="15.6" x14ac:dyDescent="0.3">
      <c r="A387" s="5" cm="1">
        <f t="array" ref="A387">1000 + ROW(387:387)</f>
        <v>1387</v>
      </c>
      <c r="B387" s="6">
        <f t="shared" ca="1" si="30"/>
        <v>45347</v>
      </c>
      <c r="C387" s="5" t="str" cm="1">
        <f t="array" aca="1" ref="C387" ca="1">INDEX({"S001","S002","S003","S004","S005"}, RANDBETWEEN(1,5))</f>
        <v>S001</v>
      </c>
      <c r="D387" s="5" t="str" cm="1">
        <f t="array" aca="1" ref="D387" ca="1">INDEX({"Mumbai","Delhi","Bangalore","Ahmedabad","Chennai"}, RANDBETWEEN(1,5))</f>
        <v>Ahmedabad</v>
      </c>
      <c r="E387" s="5" t="str" cm="1">
        <f t="array" aca="1" ref="E387" ca="1">INDEX({"Electronics","Groceries","Furniture","Clothing","Stationery"}, RANDBETWEEN(1,5))</f>
        <v>Electronics</v>
      </c>
      <c r="F387" s="5" t="str">
        <f t="shared" ca="1" si="31"/>
        <v>Notebook</v>
      </c>
      <c r="G387" s="8">
        <f t="shared" ca="1" si="32"/>
        <v>42</v>
      </c>
      <c r="H387" s="10">
        <f t="shared" ca="1" si="33"/>
        <v>500</v>
      </c>
      <c r="I387" s="10">
        <f t="shared" ca="1" si="34"/>
        <v>21000</v>
      </c>
      <c r="J387" s="10">
        <f ca="1">Table2[[#This Row],[Unit Price]] * RANDBETWEEN(70,90)/100</f>
        <v>420</v>
      </c>
      <c r="K387" s="12">
        <f ca="1">(Table2[[#This Row],[Unit Price]] - Table2[[#This Row],[Cost per Unit]]) * Table2[[#This Row],[Units Sold]]</f>
        <v>3360</v>
      </c>
    </row>
    <row r="388" spans="1:11" ht="15.6" x14ac:dyDescent="0.3">
      <c r="A388" s="5" cm="1">
        <f t="array" ref="A388">1000 + ROW(388:388)</f>
        <v>1388</v>
      </c>
      <c r="B388" s="6">
        <f t="shared" ca="1" si="30"/>
        <v>45305</v>
      </c>
      <c r="C388" s="5" t="str" cm="1">
        <f t="array" aca="1" ref="C388" ca="1">INDEX({"S001","S002","S003","S004","S005"}, RANDBETWEEN(1,5))</f>
        <v>S002</v>
      </c>
      <c r="D388" s="5" t="str" cm="1">
        <f t="array" aca="1" ref="D388" ca="1">INDEX({"Mumbai","Delhi","Bangalore","Ahmedabad","Chennai"}, RANDBETWEEN(1,5))</f>
        <v>Chennai</v>
      </c>
      <c r="E388" s="5" t="str" cm="1">
        <f t="array" aca="1" ref="E388" ca="1">INDEX({"Electronics","Groceries","Furniture","Clothing","Stationery"}, RANDBETWEEN(1,5))</f>
        <v>Furniture</v>
      </c>
      <c r="F388" s="5" t="str">
        <f t="shared" ca="1" si="31"/>
        <v>Cooking Oil 1L</v>
      </c>
      <c r="G388" s="8">
        <f t="shared" ca="1" si="32"/>
        <v>94</v>
      </c>
      <c r="H388" s="10">
        <f t="shared" ca="1" si="33"/>
        <v>30000</v>
      </c>
      <c r="I388" s="10">
        <f t="shared" ca="1" si="34"/>
        <v>2820000</v>
      </c>
      <c r="J388" s="10">
        <f ca="1">Table2[[#This Row],[Unit Price]] * RANDBETWEEN(70,90)/100</f>
        <v>23400</v>
      </c>
      <c r="K388" s="12">
        <f ca="1">(Table2[[#This Row],[Unit Price]] - Table2[[#This Row],[Cost per Unit]]) * Table2[[#This Row],[Units Sold]]</f>
        <v>620400</v>
      </c>
    </row>
    <row r="389" spans="1:11" ht="15.6" x14ac:dyDescent="0.3">
      <c r="A389" s="5" cm="1">
        <f t="array" ref="A389">1000 + ROW(389:389)</f>
        <v>1389</v>
      </c>
      <c r="B389" s="6">
        <f t="shared" ca="1" si="30"/>
        <v>45375</v>
      </c>
      <c r="C389" s="5" t="str" cm="1">
        <f t="array" aca="1" ref="C389" ca="1">INDEX({"S001","S002","S003","S004","S005"}, RANDBETWEEN(1,5))</f>
        <v>S005</v>
      </c>
      <c r="D389" s="5" t="str" cm="1">
        <f t="array" aca="1" ref="D389" ca="1">INDEX({"Mumbai","Delhi","Bangalore","Ahmedabad","Chennai"}, RANDBETWEEN(1,5))</f>
        <v>Ahmedabad</v>
      </c>
      <c r="E389" s="5" t="str" cm="1">
        <f t="array" aca="1" ref="E389" ca="1">INDEX({"Electronics","Groceries","Furniture","Clothing","Stationery"}, RANDBETWEEN(1,5))</f>
        <v>Clothing</v>
      </c>
      <c r="F389" s="5" t="str">
        <f t="shared" ca="1" si="31"/>
        <v>Laptop</v>
      </c>
      <c r="G389" s="8">
        <f t="shared" ca="1" si="32"/>
        <v>91</v>
      </c>
      <c r="H389" s="10">
        <f t="shared" ca="1" si="33"/>
        <v>50</v>
      </c>
      <c r="I389" s="10">
        <f t="shared" ca="1" si="34"/>
        <v>4550</v>
      </c>
      <c r="J389" s="10">
        <f ca="1">Table2[[#This Row],[Unit Price]] * RANDBETWEEN(70,90)/100</f>
        <v>41.5</v>
      </c>
      <c r="K389" s="12">
        <f ca="1">(Table2[[#This Row],[Unit Price]] - Table2[[#This Row],[Cost per Unit]]) * Table2[[#This Row],[Units Sold]]</f>
        <v>773.5</v>
      </c>
    </row>
    <row r="390" spans="1:11" ht="15.6" x14ac:dyDescent="0.3">
      <c r="A390" s="5" cm="1">
        <f t="array" ref="A390">1000 + ROW(390:390)</f>
        <v>1390</v>
      </c>
      <c r="B390" s="6">
        <f t="shared" ca="1" si="30"/>
        <v>45298</v>
      </c>
      <c r="C390" s="5" t="str" cm="1">
        <f t="array" aca="1" ref="C390" ca="1">INDEX({"S001","S002","S003","S004","S005"}, RANDBETWEEN(1,5))</f>
        <v>S003</v>
      </c>
      <c r="D390" s="5" t="str" cm="1">
        <f t="array" aca="1" ref="D390" ca="1">INDEX({"Mumbai","Delhi","Bangalore","Ahmedabad","Chennai"}, RANDBETWEEN(1,5))</f>
        <v>Chennai</v>
      </c>
      <c r="E390" s="5" t="str" cm="1">
        <f t="array" aca="1" ref="E390" ca="1">INDEX({"Electronics","Groceries","Furniture","Clothing","Stationery"}, RANDBETWEEN(1,5))</f>
        <v>Furniture</v>
      </c>
      <c r="F390" s="5" t="str">
        <f t="shared" ca="1" si="31"/>
        <v>Smartphone</v>
      </c>
      <c r="G390" s="8">
        <f t="shared" ca="1" si="32"/>
        <v>9</v>
      </c>
      <c r="H390" s="10">
        <f t="shared" ca="1" si="33"/>
        <v>50</v>
      </c>
      <c r="I390" s="10">
        <f t="shared" ca="1" si="34"/>
        <v>450</v>
      </c>
      <c r="J390" s="10">
        <f ca="1">Table2[[#This Row],[Unit Price]] * RANDBETWEEN(70,90)/100</f>
        <v>42.5</v>
      </c>
      <c r="K390" s="12">
        <f ca="1">(Table2[[#This Row],[Unit Price]] - Table2[[#This Row],[Cost per Unit]]) * Table2[[#This Row],[Units Sold]]</f>
        <v>67.5</v>
      </c>
    </row>
    <row r="391" spans="1:11" ht="15.6" x14ac:dyDescent="0.3">
      <c r="A391" s="5" cm="1">
        <f t="array" ref="A391">1000 + ROW(391:391)</f>
        <v>1391</v>
      </c>
      <c r="B391" s="6">
        <f t="shared" ca="1" si="30"/>
        <v>45303</v>
      </c>
      <c r="C391" s="5" t="str" cm="1">
        <f t="array" aca="1" ref="C391" ca="1">INDEX({"S001","S002","S003","S004","S005"}, RANDBETWEEN(1,5))</f>
        <v>S005</v>
      </c>
      <c r="D391" s="5" t="str" cm="1">
        <f t="array" aca="1" ref="D391" ca="1">INDEX({"Mumbai","Delhi","Bangalore","Ahmedabad","Chennai"}, RANDBETWEEN(1,5))</f>
        <v>Chennai</v>
      </c>
      <c r="E391" s="5" t="str" cm="1">
        <f t="array" aca="1" ref="E391" ca="1">INDEX({"Electronics","Groceries","Furniture","Clothing","Stationery"}, RANDBETWEEN(1,5))</f>
        <v>Stationery</v>
      </c>
      <c r="F391" s="5" t="str">
        <f t="shared" ca="1" si="31"/>
        <v>Cooking Oil 1L</v>
      </c>
      <c r="G391" s="8">
        <f t="shared" ca="1" si="32"/>
        <v>26</v>
      </c>
      <c r="H391" s="10">
        <f t="shared" ca="1" si="33"/>
        <v>150</v>
      </c>
      <c r="I391" s="10">
        <f t="shared" ca="1" si="34"/>
        <v>3900</v>
      </c>
      <c r="J391" s="10">
        <f ca="1">Table2[[#This Row],[Unit Price]] * RANDBETWEEN(70,90)/100</f>
        <v>106.5</v>
      </c>
      <c r="K391" s="12">
        <f ca="1">(Table2[[#This Row],[Unit Price]] - Table2[[#This Row],[Cost per Unit]]) * Table2[[#This Row],[Units Sold]]</f>
        <v>1131</v>
      </c>
    </row>
    <row r="392" spans="1:11" ht="15.6" x14ac:dyDescent="0.3">
      <c r="A392" s="5" cm="1">
        <f t="array" ref="A392">1000 + ROW(392:392)</f>
        <v>1392</v>
      </c>
      <c r="B392" s="6">
        <f t="shared" ca="1" si="30"/>
        <v>45381</v>
      </c>
      <c r="C392" s="5" t="str" cm="1">
        <f t="array" aca="1" ref="C392" ca="1">INDEX({"S001","S002","S003","S004","S005"}, RANDBETWEEN(1,5))</f>
        <v>S005</v>
      </c>
      <c r="D392" s="5" t="str" cm="1">
        <f t="array" aca="1" ref="D392" ca="1">INDEX({"Mumbai","Delhi","Bangalore","Ahmedabad","Chennai"}, RANDBETWEEN(1,5))</f>
        <v>Bangalore</v>
      </c>
      <c r="E392" s="5" t="str" cm="1">
        <f t="array" aca="1" ref="E392" ca="1">INDEX({"Electronics","Groceries","Furniture","Clothing","Stationery"}, RANDBETWEEN(1,5))</f>
        <v>Electronics</v>
      </c>
      <c r="F392" s="5" t="str">
        <f t="shared" ca="1" si="31"/>
        <v>Shampoo</v>
      </c>
      <c r="G392" s="8">
        <f t="shared" ca="1" si="32"/>
        <v>85</v>
      </c>
      <c r="H392" s="10">
        <f t="shared" ca="1" si="33"/>
        <v>300</v>
      </c>
      <c r="I392" s="10">
        <f t="shared" ca="1" si="34"/>
        <v>25500</v>
      </c>
      <c r="J392" s="10">
        <f ca="1">Table2[[#This Row],[Unit Price]] * RANDBETWEEN(70,90)/100</f>
        <v>255</v>
      </c>
      <c r="K392" s="12">
        <f ca="1">(Table2[[#This Row],[Unit Price]] - Table2[[#This Row],[Cost per Unit]]) * Table2[[#This Row],[Units Sold]]</f>
        <v>3825</v>
      </c>
    </row>
    <row r="393" spans="1:11" ht="15.6" x14ac:dyDescent="0.3">
      <c r="A393" s="5" cm="1">
        <f t="array" ref="A393">1000 + ROW(393:393)</f>
        <v>1393</v>
      </c>
      <c r="B393" s="6">
        <f t="shared" ca="1" si="30"/>
        <v>45324</v>
      </c>
      <c r="C393" s="5" t="str" cm="1">
        <f t="array" aca="1" ref="C393" ca="1">INDEX({"S001","S002","S003","S004","S005"}, RANDBETWEEN(1,5))</f>
        <v>S005</v>
      </c>
      <c r="D393" s="5" t="str" cm="1">
        <f t="array" aca="1" ref="D393" ca="1">INDEX({"Mumbai","Delhi","Bangalore","Ahmedabad","Chennai"}, RANDBETWEEN(1,5))</f>
        <v>Delhi</v>
      </c>
      <c r="E393" s="5" t="str" cm="1">
        <f t="array" aca="1" ref="E393" ca="1">INDEX({"Electronics","Groceries","Furniture","Clothing","Stationery"}, RANDBETWEEN(1,5))</f>
        <v>Stationery</v>
      </c>
      <c r="F393" s="5" t="str">
        <f t="shared" ca="1" si="31"/>
        <v>Table</v>
      </c>
      <c r="G393" s="8">
        <f t="shared" ca="1" si="32"/>
        <v>42</v>
      </c>
      <c r="H393" s="10">
        <f t="shared" ca="1" si="33"/>
        <v>300</v>
      </c>
      <c r="I393" s="10">
        <f t="shared" ca="1" si="34"/>
        <v>12600</v>
      </c>
      <c r="J393" s="10">
        <f ca="1">Table2[[#This Row],[Unit Price]] * RANDBETWEEN(70,90)/100</f>
        <v>222</v>
      </c>
      <c r="K393" s="12">
        <f ca="1">(Table2[[#This Row],[Unit Price]] - Table2[[#This Row],[Cost per Unit]]) * Table2[[#This Row],[Units Sold]]</f>
        <v>3276</v>
      </c>
    </row>
    <row r="394" spans="1:11" ht="15.6" x14ac:dyDescent="0.3">
      <c r="A394" s="5" cm="1">
        <f t="array" ref="A394">1000 + ROW(394:394)</f>
        <v>1394</v>
      </c>
      <c r="B394" s="6">
        <f t="shared" ca="1" si="30"/>
        <v>45365</v>
      </c>
      <c r="C394" s="5" t="str" cm="1">
        <f t="array" aca="1" ref="C394" ca="1">INDEX({"S001","S002","S003","S004","S005"}, RANDBETWEEN(1,5))</f>
        <v>S004</v>
      </c>
      <c r="D394" s="5" t="str" cm="1">
        <f t="array" aca="1" ref="D394" ca="1">INDEX({"Mumbai","Delhi","Bangalore","Ahmedabad","Chennai"}, RANDBETWEEN(1,5))</f>
        <v>Bangalore</v>
      </c>
      <c r="E394" s="5" t="str" cm="1">
        <f t="array" aca="1" ref="E394" ca="1">INDEX({"Electronics","Groceries","Furniture","Clothing","Stationery"}, RANDBETWEEN(1,5))</f>
        <v>Stationery</v>
      </c>
      <c r="F394" s="5" t="str">
        <f t="shared" ca="1" si="31"/>
        <v>Notebook</v>
      </c>
      <c r="G394" s="8">
        <f t="shared" ca="1" si="32"/>
        <v>47</v>
      </c>
      <c r="H394" s="10">
        <f t="shared" ca="1" si="33"/>
        <v>700</v>
      </c>
      <c r="I394" s="10">
        <f t="shared" ca="1" si="34"/>
        <v>32900</v>
      </c>
      <c r="J394" s="10">
        <f ca="1">Table2[[#This Row],[Unit Price]] * RANDBETWEEN(70,90)/100</f>
        <v>602</v>
      </c>
      <c r="K394" s="12">
        <f ca="1">(Table2[[#This Row],[Unit Price]] - Table2[[#This Row],[Cost per Unit]]) * Table2[[#This Row],[Units Sold]]</f>
        <v>4606</v>
      </c>
    </row>
    <row r="395" spans="1:11" ht="15.6" x14ac:dyDescent="0.3">
      <c r="A395" s="5" cm="1">
        <f t="array" ref="A395">1000 + ROW(395:395)</f>
        <v>1395</v>
      </c>
      <c r="B395" s="6">
        <f t="shared" ca="1" si="30"/>
        <v>45380</v>
      </c>
      <c r="C395" s="5" t="str" cm="1">
        <f t="array" aca="1" ref="C395" ca="1">INDEX({"S001","S002","S003","S004","S005"}, RANDBETWEEN(1,5))</f>
        <v>S001</v>
      </c>
      <c r="D395" s="5" t="str" cm="1">
        <f t="array" aca="1" ref="D395" ca="1">INDEX({"Mumbai","Delhi","Bangalore","Ahmedabad","Chennai"}, RANDBETWEEN(1,5))</f>
        <v>Delhi</v>
      </c>
      <c r="E395" s="5" t="str" cm="1">
        <f t="array" aca="1" ref="E395" ca="1">INDEX({"Electronics","Groceries","Furniture","Clothing","Stationery"}, RANDBETWEEN(1,5))</f>
        <v>Furniture</v>
      </c>
      <c r="F395" s="5" t="str">
        <f t="shared" ca="1" si="31"/>
        <v>Desk Lamp</v>
      </c>
      <c r="G395" s="8">
        <f t="shared" ca="1" si="32"/>
        <v>60</v>
      </c>
      <c r="H395" s="10">
        <f t="shared" ca="1" si="33"/>
        <v>50</v>
      </c>
      <c r="I395" s="10">
        <f t="shared" ca="1" si="34"/>
        <v>3000</v>
      </c>
      <c r="J395" s="10">
        <f ca="1">Table2[[#This Row],[Unit Price]] * RANDBETWEEN(70,90)/100</f>
        <v>42.5</v>
      </c>
      <c r="K395" s="12">
        <f ca="1">(Table2[[#This Row],[Unit Price]] - Table2[[#This Row],[Cost per Unit]]) * Table2[[#This Row],[Units Sold]]</f>
        <v>450</v>
      </c>
    </row>
    <row r="396" spans="1:11" ht="15.6" x14ac:dyDescent="0.3">
      <c r="A396" s="5" cm="1">
        <f t="array" ref="A396">1000 + ROW(396:396)</f>
        <v>1396</v>
      </c>
      <c r="B396" s="6">
        <f t="shared" ca="1" si="30"/>
        <v>45375</v>
      </c>
      <c r="C396" s="5" t="str" cm="1">
        <f t="array" aca="1" ref="C396" ca="1">INDEX({"S001","S002","S003","S004","S005"}, RANDBETWEEN(1,5))</f>
        <v>S004</v>
      </c>
      <c r="D396" s="5" t="str" cm="1">
        <f t="array" aca="1" ref="D396" ca="1">INDEX({"Mumbai","Delhi","Bangalore","Ahmedabad","Chennai"}, RANDBETWEEN(1,5))</f>
        <v>Delhi</v>
      </c>
      <c r="E396" s="5" t="str" cm="1">
        <f t="array" aca="1" ref="E396" ca="1">INDEX({"Electronics","Groceries","Furniture","Clothing","Stationery"}, RANDBETWEEN(1,5))</f>
        <v>Clothing</v>
      </c>
      <c r="F396" s="5" t="str">
        <f t="shared" ca="1" si="31"/>
        <v>Office Chair</v>
      </c>
      <c r="G396" s="8">
        <f t="shared" ca="1" si="32"/>
        <v>38</v>
      </c>
      <c r="H396" s="10">
        <f t="shared" ca="1" si="33"/>
        <v>150</v>
      </c>
      <c r="I396" s="10">
        <f t="shared" ca="1" si="34"/>
        <v>5700</v>
      </c>
      <c r="J396" s="10">
        <f ca="1">Table2[[#This Row],[Unit Price]] * RANDBETWEEN(70,90)/100</f>
        <v>115.5</v>
      </c>
      <c r="K396" s="12">
        <f ca="1">(Table2[[#This Row],[Unit Price]] - Table2[[#This Row],[Cost per Unit]]) * Table2[[#This Row],[Units Sold]]</f>
        <v>1311</v>
      </c>
    </row>
    <row r="397" spans="1:11" ht="15.6" x14ac:dyDescent="0.3">
      <c r="A397" s="5" cm="1">
        <f t="array" ref="A397">1000 + ROW(397:397)</f>
        <v>1397</v>
      </c>
      <c r="B397" s="6">
        <f t="shared" ca="1" si="30"/>
        <v>45352</v>
      </c>
      <c r="C397" s="5" t="str" cm="1">
        <f t="array" aca="1" ref="C397" ca="1">INDEX({"S001","S002","S003","S004","S005"}, RANDBETWEEN(1,5))</f>
        <v>S003</v>
      </c>
      <c r="D397" s="5" t="str" cm="1">
        <f t="array" aca="1" ref="D397" ca="1">INDEX({"Mumbai","Delhi","Bangalore","Ahmedabad","Chennai"}, RANDBETWEEN(1,5))</f>
        <v>Ahmedabad</v>
      </c>
      <c r="E397" s="5" t="str" cm="1">
        <f t="array" aca="1" ref="E397" ca="1">INDEX({"Electronics","Groceries","Furniture","Clothing","Stationery"}, RANDBETWEEN(1,5))</f>
        <v>Furniture</v>
      </c>
      <c r="F397" s="5" t="str">
        <f t="shared" ca="1" si="31"/>
        <v>Laptop</v>
      </c>
      <c r="G397" s="8">
        <f t="shared" ca="1" si="32"/>
        <v>91</v>
      </c>
      <c r="H397" s="10">
        <f t="shared" ca="1" si="33"/>
        <v>50</v>
      </c>
      <c r="I397" s="10">
        <f t="shared" ca="1" si="34"/>
        <v>4550</v>
      </c>
      <c r="J397" s="10">
        <f ca="1">Table2[[#This Row],[Unit Price]] * RANDBETWEEN(70,90)/100</f>
        <v>44</v>
      </c>
      <c r="K397" s="12">
        <f ca="1">(Table2[[#This Row],[Unit Price]] - Table2[[#This Row],[Cost per Unit]]) * Table2[[#This Row],[Units Sold]]</f>
        <v>546</v>
      </c>
    </row>
    <row r="398" spans="1:11" ht="15.6" x14ac:dyDescent="0.3">
      <c r="A398" s="5" cm="1">
        <f t="array" ref="A398">1000 + ROW(398:398)</f>
        <v>1398</v>
      </c>
      <c r="B398" s="6">
        <f t="shared" ca="1" si="30"/>
        <v>45368</v>
      </c>
      <c r="C398" s="5" t="str" cm="1">
        <f t="array" aca="1" ref="C398" ca="1">INDEX({"S001","S002","S003","S004","S005"}, RANDBETWEEN(1,5))</f>
        <v>S002</v>
      </c>
      <c r="D398" s="5" t="str" cm="1">
        <f t="array" aca="1" ref="D398" ca="1">INDEX({"Mumbai","Delhi","Bangalore","Ahmedabad","Chennai"}, RANDBETWEEN(1,5))</f>
        <v>Chennai</v>
      </c>
      <c r="E398" s="5" t="str" cm="1">
        <f t="array" aca="1" ref="E398" ca="1">INDEX({"Electronics","Groceries","Furniture","Clothing","Stationery"}, RANDBETWEEN(1,5))</f>
        <v>Groceries</v>
      </c>
      <c r="F398" s="5" t="str">
        <f t="shared" ca="1" si="31"/>
        <v>Laptop</v>
      </c>
      <c r="G398" s="8">
        <f t="shared" ca="1" si="32"/>
        <v>80</v>
      </c>
      <c r="H398" s="10">
        <f t="shared" ca="1" si="33"/>
        <v>15000</v>
      </c>
      <c r="I398" s="10">
        <f t="shared" ca="1" si="34"/>
        <v>1200000</v>
      </c>
      <c r="J398" s="10">
        <f ca="1">Table2[[#This Row],[Unit Price]] * RANDBETWEEN(70,90)/100</f>
        <v>11100</v>
      </c>
      <c r="K398" s="12">
        <f ca="1">(Table2[[#This Row],[Unit Price]] - Table2[[#This Row],[Cost per Unit]]) * Table2[[#This Row],[Units Sold]]</f>
        <v>312000</v>
      </c>
    </row>
    <row r="399" spans="1:11" ht="15.6" x14ac:dyDescent="0.3">
      <c r="A399" s="5" cm="1">
        <f t="array" ref="A399">1000 + ROW(399:399)</f>
        <v>1399</v>
      </c>
      <c r="B399" s="6">
        <f t="shared" ca="1" si="30"/>
        <v>45351</v>
      </c>
      <c r="C399" s="5" t="str" cm="1">
        <f t="array" aca="1" ref="C399" ca="1">INDEX({"S001","S002","S003","S004","S005"}, RANDBETWEEN(1,5))</f>
        <v>S005</v>
      </c>
      <c r="D399" s="5" t="str" cm="1">
        <f t="array" aca="1" ref="D399" ca="1">INDEX({"Mumbai","Delhi","Bangalore","Ahmedabad","Chennai"}, RANDBETWEEN(1,5))</f>
        <v>Chennai</v>
      </c>
      <c r="E399" s="5" t="str" cm="1">
        <f t="array" aca="1" ref="E399" ca="1">INDEX({"Electronics","Groceries","Furniture","Clothing","Stationery"}, RANDBETWEEN(1,5))</f>
        <v>Furniture</v>
      </c>
      <c r="F399" s="5" t="str">
        <f t="shared" ca="1" si="31"/>
        <v>Rice 5kg</v>
      </c>
      <c r="G399" s="8">
        <f t="shared" ca="1" si="32"/>
        <v>10</v>
      </c>
      <c r="H399" s="10">
        <f t="shared" ca="1" si="33"/>
        <v>50</v>
      </c>
      <c r="I399" s="10">
        <f t="shared" ca="1" si="34"/>
        <v>500</v>
      </c>
      <c r="J399" s="10">
        <f ca="1">Table2[[#This Row],[Unit Price]] * RANDBETWEEN(70,90)/100</f>
        <v>41.5</v>
      </c>
      <c r="K399" s="12">
        <f ca="1">(Table2[[#This Row],[Unit Price]] - Table2[[#This Row],[Cost per Unit]]) * Table2[[#This Row],[Units Sold]]</f>
        <v>85</v>
      </c>
    </row>
    <row r="400" spans="1:11" ht="15.6" x14ac:dyDescent="0.3">
      <c r="A400" s="5" cm="1">
        <f t="array" ref="A400">1000 + ROW(400:400)</f>
        <v>1400</v>
      </c>
      <c r="B400" s="6">
        <f t="shared" ca="1" si="30"/>
        <v>45345</v>
      </c>
      <c r="C400" s="5" t="str" cm="1">
        <f t="array" aca="1" ref="C400" ca="1">INDEX({"S001","S002","S003","S004","S005"}, RANDBETWEEN(1,5))</f>
        <v>S002</v>
      </c>
      <c r="D400" s="5" t="str" cm="1">
        <f t="array" aca="1" ref="D400" ca="1">INDEX({"Mumbai","Delhi","Bangalore","Ahmedabad","Chennai"}, RANDBETWEEN(1,5))</f>
        <v>Mumbai</v>
      </c>
      <c r="E400" s="5" t="str" cm="1">
        <f t="array" aca="1" ref="E400" ca="1">INDEX({"Electronics","Groceries","Furniture","Clothing","Stationery"}, RANDBETWEEN(1,5))</f>
        <v>Groceries</v>
      </c>
      <c r="F400" s="5" t="str">
        <f t="shared" ca="1" si="31"/>
        <v>Table</v>
      </c>
      <c r="G400" s="8">
        <f t="shared" ca="1" si="32"/>
        <v>61</v>
      </c>
      <c r="H400" s="10">
        <f t="shared" ca="1" si="33"/>
        <v>700</v>
      </c>
      <c r="I400" s="10">
        <f t="shared" ca="1" si="34"/>
        <v>42700</v>
      </c>
      <c r="J400" s="10">
        <f ca="1">Table2[[#This Row],[Unit Price]] * RANDBETWEEN(70,90)/100</f>
        <v>567</v>
      </c>
      <c r="K400" s="12">
        <f ca="1">(Table2[[#This Row],[Unit Price]] - Table2[[#This Row],[Cost per Unit]]) * Table2[[#This Row],[Units Sold]]</f>
        <v>8113</v>
      </c>
    </row>
    <row r="401" spans="1:11" ht="15.6" x14ac:dyDescent="0.3">
      <c r="A401" s="5" cm="1">
        <f t="array" ref="A401">1000 + ROW(401:401)</f>
        <v>1401</v>
      </c>
      <c r="B401" s="6">
        <f t="shared" ca="1" si="30"/>
        <v>45323</v>
      </c>
      <c r="C401" s="5" t="str" cm="1">
        <f t="array" aca="1" ref="C401" ca="1">INDEX({"S001","S002","S003","S004","S005"}, RANDBETWEEN(1,5))</f>
        <v>S001</v>
      </c>
      <c r="D401" s="5" t="str" cm="1">
        <f t="array" aca="1" ref="D401" ca="1">INDEX({"Mumbai","Delhi","Bangalore","Ahmedabad","Chennai"}, RANDBETWEEN(1,5))</f>
        <v>Chennai</v>
      </c>
      <c r="E401" s="5" t="str" cm="1">
        <f t="array" aca="1" ref="E401" ca="1">INDEX({"Electronics","Groceries","Furniture","Clothing","Stationery"}, RANDBETWEEN(1,5))</f>
        <v>Groceries</v>
      </c>
      <c r="F401" s="5" t="str">
        <f t="shared" ca="1" si="31"/>
        <v>Notebook</v>
      </c>
      <c r="G401" s="8">
        <f t="shared" ca="1" si="32"/>
        <v>52</v>
      </c>
      <c r="H401" s="10">
        <f t="shared" ca="1" si="33"/>
        <v>700</v>
      </c>
      <c r="I401" s="10">
        <f t="shared" ca="1" si="34"/>
        <v>36400</v>
      </c>
      <c r="J401" s="10">
        <f ca="1">Table2[[#This Row],[Unit Price]] * RANDBETWEEN(70,90)/100</f>
        <v>581</v>
      </c>
      <c r="K401" s="12">
        <f ca="1">(Table2[[#This Row],[Unit Price]] - Table2[[#This Row],[Cost per Unit]]) * Table2[[#This Row],[Units Sold]]</f>
        <v>6188</v>
      </c>
    </row>
    <row r="402" spans="1:11" ht="15.6" x14ac:dyDescent="0.3">
      <c r="A402" s="5" cm="1">
        <f t="array" ref="A402">1000 + ROW(402:402)</f>
        <v>1402</v>
      </c>
      <c r="B402" s="6">
        <f t="shared" ca="1" si="30"/>
        <v>45301</v>
      </c>
      <c r="C402" s="5" t="str" cm="1">
        <f t="array" aca="1" ref="C402" ca="1">INDEX({"S001","S002","S003","S004","S005"}, RANDBETWEEN(1,5))</f>
        <v>S002</v>
      </c>
      <c r="D402" s="5" t="str" cm="1">
        <f t="array" aca="1" ref="D402" ca="1">INDEX({"Mumbai","Delhi","Bangalore","Ahmedabad","Chennai"}, RANDBETWEEN(1,5))</f>
        <v>Delhi</v>
      </c>
      <c r="E402" s="5" t="str" cm="1">
        <f t="array" aca="1" ref="E402" ca="1">INDEX({"Electronics","Groceries","Furniture","Clothing","Stationery"}, RANDBETWEEN(1,5))</f>
        <v>Electronics</v>
      </c>
      <c r="F402" s="5" t="str">
        <f t="shared" ca="1" si="31"/>
        <v>Notebook</v>
      </c>
      <c r="G402" s="8">
        <f t="shared" ca="1" si="32"/>
        <v>28</v>
      </c>
      <c r="H402" s="10">
        <f t="shared" ca="1" si="33"/>
        <v>500</v>
      </c>
      <c r="I402" s="10">
        <f t="shared" ca="1" si="34"/>
        <v>14000</v>
      </c>
      <c r="J402" s="10">
        <f ca="1">Table2[[#This Row],[Unit Price]] * RANDBETWEEN(70,90)/100</f>
        <v>415</v>
      </c>
      <c r="K402" s="12">
        <f ca="1">(Table2[[#This Row],[Unit Price]] - Table2[[#This Row],[Cost per Unit]]) * Table2[[#This Row],[Units Sold]]</f>
        <v>2380</v>
      </c>
    </row>
    <row r="403" spans="1:11" ht="15.6" x14ac:dyDescent="0.3">
      <c r="A403" s="5" cm="1">
        <f t="array" ref="A403">1000 + ROW(403:403)</f>
        <v>1403</v>
      </c>
      <c r="B403" s="6">
        <f t="shared" ca="1" si="30"/>
        <v>45365</v>
      </c>
      <c r="C403" s="5" t="str" cm="1">
        <f t="array" aca="1" ref="C403" ca="1">INDEX({"S001","S002","S003","S004","S005"}, RANDBETWEEN(1,5))</f>
        <v>S003</v>
      </c>
      <c r="D403" s="5" t="str" cm="1">
        <f t="array" aca="1" ref="D403" ca="1">INDEX({"Mumbai","Delhi","Bangalore","Ahmedabad","Chennai"}, RANDBETWEEN(1,5))</f>
        <v>Delhi</v>
      </c>
      <c r="E403" s="5" t="str" cm="1">
        <f t="array" aca="1" ref="E403" ca="1">INDEX({"Electronics","Groceries","Furniture","Clothing","Stationery"}, RANDBETWEEN(1,5))</f>
        <v>Electronics</v>
      </c>
      <c r="F403" s="5" t="str">
        <f t="shared" ca="1" si="31"/>
        <v>Table</v>
      </c>
      <c r="G403" s="8">
        <f t="shared" ca="1" si="32"/>
        <v>29</v>
      </c>
      <c r="H403" s="10">
        <f t="shared" ca="1" si="33"/>
        <v>150</v>
      </c>
      <c r="I403" s="10">
        <f t="shared" ca="1" si="34"/>
        <v>4350</v>
      </c>
      <c r="J403" s="10">
        <f ca="1">Table2[[#This Row],[Unit Price]] * RANDBETWEEN(70,90)/100</f>
        <v>111</v>
      </c>
      <c r="K403" s="12">
        <f ca="1">(Table2[[#This Row],[Unit Price]] - Table2[[#This Row],[Cost per Unit]]) * Table2[[#This Row],[Units Sold]]</f>
        <v>1131</v>
      </c>
    </row>
    <row r="404" spans="1:11" ht="15.6" x14ac:dyDescent="0.3">
      <c r="A404" s="5" cm="1">
        <f t="array" ref="A404">1000 + ROW(404:404)</f>
        <v>1404</v>
      </c>
      <c r="B404" s="6">
        <f t="shared" ca="1" si="30"/>
        <v>45372</v>
      </c>
      <c r="C404" s="5" t="str" cm="1">
        <f t="array" aca="1" ref="C404" ca="1">INDEX({"S001","S002","S003","S004","S005"}, RANDBETWEEN(1,5))</f>
        <v>S003</v>
      </c>
      <c r="D404" s="5" t="str" cm="1">
        <f t="array" aca="1" ref="D404" ca="1">INDEX({"Mumbai","Delhi","Bangalore","Ahmedabad","Chennai"}, RANDBETWEEN(1,5))</f>
        <v>Mumbai</v>
      </c>
      <c r="E404" s="5" t="str" cm="1">
        <f t="array" aca="1" ref="E404" ca="1">INDEX({"Electronics","Groceries","Furniture","Clothing","Stationery"}, RANDBETWEEN(1,5))</f>
        <v>Furniture</v>
      </c>
      <c r="F404" s="5" t="str">
        <f t="shared" ca="1" si="31"/>
        <v>Office Chair</v>
      </c>
      <c r="G404" s="8">
        <f t="shared" ca="1" si="32"/>
        <v>96</v>
      </c>
      <c r="H404" s="10">
        <f t="shared" ca="1" si="33"/>
        <v>500</v>
      </c>
      <c r="I404" s="10">
        <f t="shared" ca="1" si="34"/>
        <v>48000</v>
      </c>
      <c r="J404" s="10">
        <f ca="1">Table2[[#This Row],[Unit Price]] * RANDBETWEEN(70,90)/100</f>
        <v>415</v>
      </c>
      <c r="K404" s="12">
        <f ca="1">(Table2[[#This Row],[Unit Price]] - Table2[[#This Row],[Cost per Unit]]) * Table2[[#This Row],[Units Sold]]</f>
        <v>8160</v>
      </c>
    </row>
    <row r="405" spans="1:11" ht="15.6" x14ac:dyDescent="0.3">
      <c r="A405" s="5" cm="1">
        <f t="array" ref="A405">1000 + ROW(405:405)</f>
        <v>1405</v>
      </c>
      <c r="B405" s="6">
        <f t="shared" ca="1" si="30"/>
        <v>45293</v>
      </c>
      <c r="C405" s="5" t="str" cm="1">
        <f t="array" aca="1" ref="C405" ca="1">INDEX({"S001","S002","S003","S004","S005"}, RANDBETWEEN(1,5))</f>
        <v>S004</v>
      </c>
      <c r="D405" s="5" t="str" cm="1">
        <f t="array" aca="1" ref="D405" ca="1">INDEX({"Mumbai","Delhi","Bangalore","Ahmedabad","Chennai"}, RANDBETWEEN(1,5))</f>
        <v>Chennai</v>
      </c>
      <c r="E405" s="5" t="str" cm="1">
        <f t="array" aca="1" ref="E405" ca="1">INDEX({"Electronics","Groceries","Furniture","Clothing","Stationery"}, RANDBETWEEN(1,5))</f>
        <v>Electronics</v>
      </c>
      <c r="F405" s="5" t="str">
        <f t="shared" ca="1" si="31"/>
        <v>Notebook</v>
      </c>
      <c r="G405" s="8">
        <f t="shared" ca="1" si="32"/>
        <v>11</v>
      </c>
      <c r="H405" s="10">
        <f t="shared" ca="1" si="33"/>
        <v>1200</v>
      </c>
      <c r="I405" s="10">
        <f t="shared" ca="1" si="34"/>
        <v>13200</v>
      </c>
      <c r="J405" s="10">
        <f ca="1">Table2[[#This Row],[Unit Price]] * RANDBETWEEN(70,90)/100</f>
        <v>1056</v>
      </c>
      <c r="K405" s="12">
        <f ca="1">(Table2[[#This Row],[Unit Price]] - Table2[[#This Row],[Cost per Unit]]) * Table2[[#This Row],[Units Sold]]</f>
        <v>1584</v>
      </c>
    </row>
    <row r="406" spans="1:11" ht="15.6" x14ac:dyDescent="0.3">
      <c r="A406" s="5" cm="1">
        <f t="array" ref="A406">1000 + ROW(406:406)</f>
        <v>1406</v>
      </c>
      <c r="B406" s="6">
        <f t="shared" ca="1" si="30"/>
        <v>45315</v>
      </c>
      <c r="C406" s="5" t="str" cm="1">
        <f t="array" aca="1" ref="C406" ca="1">INDEX({"S001","S002","S003","S004","S005"}, RANDBETWEEN(1,5))</f>
        <v>S001</v>
      </c>
      <c r="D406" s="5" t="str" cm="1">
        <f t="array" aca="1" ref="D406" ca="1">INDEX({"Mumbai","Delhi","Bangalore","Ahmedabad","Chennai"}, RANDBETWEEN(1,5))</f>
        <v>Delhi</v>
      </c>
      <c r="E406" s="5" t="str" cm="1">
        <f t="array" aca="1" ref="E406" ca="1">INDEX({"Electronics","Groceries","Furniture","Clothing","Stationery"}, RANDBETWEEN(1,5))</f>
        <v>Furniture</v>
      </c>
      <c r="F406" s="5" t="str">
        <f t="shared" ca="1" si="31"/>
        <v>Shampoo</v>
      </c>
      <c r="G406" s="8">
        <f t="shared" ca="1" si="32"/>
        <v>27</v>
      </c>
      <c r="H406" s="10">
        <f t="shared" ca="1" si="33"/>
        <v>50</v>
      </c>
      <c r="I406" s="10">
        <f t="shared" ca="1" si="34"/>
        <v>1350</v>
      </c>
      <c r="J406" s="10">
        <f ca="1">Table2[[#This Row],[Unit Price]] * RANDBETWEEN(70,90)/100</f>
        <v>35</v>
      </c>
      <c r="K406" s="12">
        <f ca="1">(Table2[[#This Row],[Unit Price]] - Table2[[#This Row],[Cost per Unit]]) * Table2[[#This Row],[Units Sold]]</f>
        <v>405</v>
      </c>
    </row>
    <row r="407" spans="1:11" ht="15.6" x14ac:dyDescent="0.3">
      <c r="A407" s="5" cm="1">
        <f t="array" ref="A407">1000 + ROW(407:407)</f>
        <v>1407</v>
      </c>
      <c r="B407" s="6">
        <f t="shared" ca="1" si="30"/>
        <v>45329</v>
      </c>
      <c r="C407" s="5" t="str" cm="1">
        <f t="array" aca="1" ref="C407" ca="1">INDEX({"S001","S002","S003","S004","S005"}, RANDBETWEEN(1,5))</f>
        <v>S004</v>
      </c>
      <c r="D407" s="5" t="str" cm="1">
        <f t="array" aca="1" ref="D407" ca="1">INDEX({"Mumbai","Delhi","Bangalore","Ahmedabad","Chennai"}, RANDBETWEEN(1,5))</f>
        <v>Chennai</v>
      </c>
      <c r="E407" s="5" t="str" cm="1">
        <f t="array" aca="1" ref="E407" ca="1">INDEX({"Electronics","Groceries","Furniture","Clothing","Stationery"}, RANDBETWEEN(1,5))</f>
        <v>Clothing</v>
      </c>
      <c r="F407" s="5" t="str">
        <f t="shared" ca="1" si="31"/>
        <v>Rice 5kg</v>
      </c>
      <c r="G407" s="8">
        <f t="shared" ca="1" si="32"/>
        <v>76</v>
      </c>
      <c r="H407" s="10">
        <f t="shared" ca="1" si="33"/>
        <v>1200</v>
      </c>
      <c r="I407" s="10">
        <f t="shared" ca="1" si="34"/>
        <v>91200</v>
      </c>
      <c r="J407" s="10">
        <f ca="1">Table2[[#This Row],[Unit Price]] * RANDBETWEEN(70,90)/100</f>
        <v>984</v>
      </c>
      <c r="K407" s="12">
        <f ca="1">(Table2[[#This Row],[Unit Price]] - Table2[[#This Row],[Cost per Unit]]) * Table2[[#This Row],[Units Sold]]</f>
        <v>16416</v>
      </c>
    </row>
    <row r="408" spans="1:11" ht="15.6" x14ac:dyDescent="0.3">
      <c r="A408" s="5" cm="1">
        <f t="array" ref="A408">1000 + ROW(408:408)</f>
        <v>1408</v>
      </c>
      <c r="B408" s="6">
        <f t="shared" ca="1" si="30"/>
        <v>45294</v>
      </c>
      <c r="C408" s="5" t="str" cm="1">
        <f t="array" aca="1" ref="C408" ca="1">INDEX({"S001","S002","S003","S004","S005"}, RANDBETWEEN(1,5))</f>
        <v>S001</v>
      </c>
      <c r="D408" s="5" t="str" cm="1">
        <f t="array" aca="1" ref="D408" ca="1">INDEX({"Mumbai","Delhi","Bangalore","Ahmedabad","Chennai"}, RANDBETWEEN(1,5))</f>
        <v>Bangalore</v>
      </c>
      <c r="E408" s="5" t="str" cm="1">
        <f t="array" aca="1" ref="E408" ca="1">INDEX({"Electronics","Groceries","Furniture","Clothing","Stationery"}, RANDBETWEEN(1,5))</f>
        <v>Groceries</v>
      </c>
      <c r="F408" s="5" t="str">
        <f t="shared" ca="1" si="31"/>
        <v>Smartphone</v>
      </c>
      <c r="G408" s="8">
        <f t="shared" ca="1" si="32"/>
        <v>77</v>
      </c>
      <c r="H408" s="10">
        <f t="shared" ca="1" si="33"/>
        <v>15000</v>
      </c>
      <c r="I408" s="10">
        <f t="shared" ca="1" si="34"/>
        <v>1155000</v>
      </c>
      <c r="J408" s="10">
        <f ca="1">Table2[[#This Row],[Unit Price]] * RANDBETWEEN(70,90)/100</f>
        <v>11400</v>
      </c>
      <c r="K408" s="12">
        <f ca="1">(Table2[[#This Row],[Unit Price]] - Table2[[#This Row],[Cost per Unit]]) * Table2[[#This Row],[Units Sold]]</f>
        <v>277200</v>
      </c>
    </row>
    <row r="409" spans="1:11" ht="15.6" x14ac:dyDescent="0.3">
      <c r="A409" s="5" cm="1">
        <f t="array" ref="A409">1000 + ROW(409:409)</f>
        <v>1409</v>
      </c>
      <c r="B409" s="6">
        <f t="shared" ca="1" si="30"/>
        <v>45332</v>
      </c>
      <c r="C409" s="5" t="str" cm="1">
        <f t="array" aca="1" ref="C409" ca="1">INDEX({"S001","S002","S003","S004","S005"}, RANDBETWEEN(1,5))</f>
        <v>S001</v>
      </c>
      <c r="D409" s="5" t="str" cm="1">
        <f t="array" aca="1" ref="D409" ca="1">INDEX({"Mumbai","Delhi","Bangalore","Ahmedabad","Chennai"}, RANDBETWEEN(1,5))</f>
        <v>Mumbai</v>
      </c>
      <c r="E409" s="5" t="str" cm="1">
        <f t="array" aca="1" ref="E409" ca="1">INDEX({"Electronics","Groceries","Furniture","Clothing","Stationery"}, RANDBETWEEN(1,5))</f>
        <v>Groceries</v>
      </c>
      <c r="F409" s="5" t="str">
        <f t="shared" ca="1" si="31"/>
        <v>Notebook</v>
      </c>
      <c r="G409" s="8">
        <f t="shared" ca="1" si="32"/>
        <v>71</v>
      </c>
      <c r="H409" s="10">
        <f t="shared" ca="1" si="33"/>
        <v>300</v>
      </c>
      <c r="I409" s="10">
        <f t="shared" ca="1" si="34"/>
        <v>21300</v>
      </c>
      <c r="J409" s="10">
        <f ca="1">Table2[[#This Row],[Unit Price]] * RANDBETWEEN(70,90)/100</f>
        <v>243</v>
      </c>
      <c r="K409" s="12">
        <f ca="1">(Table2[[#This Row],[Unit Price]] - Table2[[#This Row],[Cost per Unit]]) * Table2[[#This Row],[Units Sold]]</f>
        <v>4047</v>
      </c>
    </row>
    <row r="410" spans="1:11" ht="15.6" x14ac:dyDescent="0.3">
      <c r="A410" s="5" cm="1">
        <f t="array" ref="A410">1000 + ROW(410:410)</f>
        <v>1410</v>
      </c>
      <c r="B410" s="6">
        <f t="shared" ca="1" si="30"/>
        <v>45344</v>
      </c>
      <c r="C410" s="5" t="str" cm="1">
        <f t="array" aca="1" ref="C410" ca="1">INDEX({"S001","S002","S003","S004","S005"}, RANDBETWEEN(1,5))</f>
        <v>S005</v>
      </c>
      <c r="D410" s="5" t="str" cm="1">
        <f t="array" aca="1" ref="D410" ca="1">INDEX({"Mumbai","Delhi","Bangalore","Ahmedabad","Chennai"}, RANDBETWEEN(1,5))</f>
        <v>Mumbai</v>
      </c>
      <c r="E410" s="5" t="str" cm="1">
        <f t="array" aca="1" ref="E410" ca="1">INDEX({"Electronics","Groceries","Furniture","Clothing","Stationery"}, RANDBETWEEN(1,5))</f>
        <v>Stationery</v>
      </c>
      <c r="F410" s="5" t="str">
        <f t="shared" ca="1" si="31"/>
        <v>Rice 5kg</v>
      </c>
      <c r="G410" s="8">
        <f t="shared" ca="1" si="32"/>
        <v>62</v>
      </c>
      <c r="H410" s="10">
        <f t="shared" ca="1" si="33"/>
        <v>700</v>
      </c>
      <c r="I410" s="10">
        <f t="shared" ca="1" si="34"/>
        <v>43400</v>
      </c>
      <c r="J410" s="10">
        <f ca="1">Table2[[#This Row],[Unit Price]] * RANDBETWEEN(70,90)/100</f>
        <v>560</v>
      </c>
      <c r="K410" s="12">
        <f ca="1">(Table2[[#This Row],[Unit Price]] - Table2[[#This Row],[Cost per Unit]]) * Table2[[#This Row],[Units Sold]]</f>
        <v>8680</v>
      </c>
    </row>
    <row r="411" spans="1:11" ht="15.6" x14ac:dyDescent="0.3">
      <c r="A411" s="5" cm="1">
        <f t="array" ref="A411">1000 + ROW(411:411)</f>
        <v>1411</v>
      </c>
      <c r="B411" s="6">
        <f t="shared" ca="1" si="30"/>
        <v>45339</v>
      </c>
      <c r="C411" s="5" t="str" cm="1">
        <f t="array" aca="1" ref="C411" ca="1">INDEX({"S001","S002","S003","S004","S005"}, RANDBETWEEN(1,5))</f>
        <v>S003</v>
      </c>
      <c r="D411" s="5" t="str" cm="1">
        <f t="array" aca="1" ref="D411" ca="1">INDEX({"Mumbai","Delhi","Bangalore","Ahmedabad","Chennai"}, RANDBETWEEN(1,5))</f>
        <v>Mumbai</v>
      </c>
      <c r="E411" s="5" t="str" cm="1">
        <f t="array" aca="1" ref="E411" ca="1">INDEX({"Electronics","Groceries","Furniture","Clothing","Stationery"}, RANDBETWEEN(1,5))</f>
        <v>Groceries</v>
      </c>
      <c r="F411" s="5" t="str">
        <f t="shared" ca="1" si="31"/>
        <v>Rice 5kg</v>
      </c>
      <c r="G411" s="8">
        <f t="shared" ca="1" si="32"/>
        <v>8</v>
      </c>
      <c r="H411" s="10">
        <f t="shared" ca="1" si="33"/>
        <v>250</v>
      </c>
      <c r="I411" s="10">
        <f t="shared" ca="1" si="34"/>
        <v>2000</v>
      </c>
      <c r="J411" s="10">
        <f ca="1">Table2[[#This Row],[Unit Price]] * RANDBETWEEN(70,90)/100</f>
        <v>200</v>
      </c>
      <c r="K411" s="12">
        <f ca="1">(Table2[[#This Row],[Unit Price]] - Table2[[#This Row],[Cost per Unit]]) * Table2[[#This Row],[Units Sold]]</f>
        <v>400</v>
      </c>
    </row>
    <row r="412" spans="1:11" ht="15.6" x14ac:dyDescent="0.3">
      <c r="A412" s="5" cm="1">
        <f t="array" ref="A412">1000 + ROW(412:412)</f>
        <v>1412</v>
      </c>
      <c r="B412" s="6">
        <f t="shared" ca="1" si="30"/>
        <v>45368</v>
      </c>
      <c r="C412" s="5" t="str" cm="1">
        <f t="array" aca="1" ref="C412" ca="1">INDEX({"S001","S002","S003","S004","S005"}, RANDBETWEEN(1,5))</f>
        <v>S002</v>
      </c>
      <c r="D412" s="5" t="str" cm="1">
        <f t="array" aca="1" ref="D412" ca="1">INDEX({"Mumbai","Delhi","Bangalore","Ahmedabad","Chennai"}, RANDBETWEEN(1,5))</f>
        <v>Bangalore</v>
      </c>
      <c r="E412" s="5" t="str" cm="1">
        <f t="array" aca="1" ref="E412" ca="1">INDEX({"Electronics","Groceries","Furniture","Clothing","Stationery"}, RANDBETWEEN(1,5))</f>
        <v>Clothing</v>
      </c>
      <c r="F412" s="5" t="str">
        <f t="shared" ca="1" si="31"/>
        <v>T-shirt</v>
      </c>
      <c r="G412" s="8">
        <f t="shared" ca="1" si="32"/>
        <v>95</v>
      </c>
      <c r="H412" s="10">
        <f t="shared" ca="1" si="33"/>
        <v>150</v>
      </c>
      <c r="I412" s="10">
        <f t="shared" ca="1" si="34"/>
        <v>14250</v>
      </c>
      <c r="J412" s="10">
        <f ca="1">Table2[[#This Row],[Unit Price]] * RANDBETWEEN(70,90)/100</f>
        <v>118.5</v>
      </c>
      <c r="K412" s="12">
        <f ca="1">(Table2[[#This Row],[Unit Price]] - Table2[[#This Row],[Cost per Unit]]) * Table2[[#This Row],[Units Sold]]</f>
        <v>2992.5</v>
      </c>
    </row>
    <row r="413" spans="1:11" ht="15.6" x14ac:dyDescent="0.3">
      <c r="A413" s="5" cm="1">
        <f t="array" ref="A413">1000 + ROW(413:413)</f>
        <v>1413</v>
      </c>
      <c r="B413" s="6">
        <f t="shared" ca="1" si="30"/>
        <v>45367</v>
      </c>
      <c r="C413" s="5" t="str" cm="1">
        <f t="array" aca="1" ref="C413" ca="1">INDEX({"S001","S002","S003","S004","S005"}, RANDBETWEEN(1,5))</f>
        <v>S005</v>
      </c>
      <c r="D413" s="5" t="str" cm="1">
        <f t="array" aca="1" ref="D413" ca="1">INDEX({"Mumbai","Delhi","Bangalore","Ahmedabad","Chennai"}, RANDBETWEEN(1,5))</f>
        <v>Bangalore</v>
      </c>
      <c r="E413" s="5" t="str" cm="1">
        <f t="array" aca="1" ref="E413" ca="1">INDEX({"Electronics","Groceries","Furniture","Clothing","Stationery"}, RANDBETWEEN(1,5))</f>
        <v>Furniture</v>
      </c>
      <c r="F413" s="5" t="str">
        <f t="shared" ca="1" si="31"/>
        <v>Rice 5kg</v>
      </c>
      <c r="G413" s="8">
        <f t="shared" ca="1" si="32"/>
        <v>94</v>
      </c>
      <c r="H413" s="10">
        <f t="shared" ca="1" si="33"/>
        <v>30000</v>
      </c>
      <c r="I413" s="10">
        <f t="shared" ca="1" si="34"/>
        <v>2820000</v>
      </c>
      <c r="J413" s="10">
        <f ca="1">Table2[[#This Row],[Unit Price]] * RANDBETWEEN(70,90)/100</f>
        <v>25500</v>
      </c>
      <c r="K413" s="12">
        <f ca="1">(Table2[[#This Row],[Unit Price]] - Table2[[#This Row],[Cost per Unit]]) * Table2[[#This Row],[Units Sold]]</f>
        <v>423000</v>
      </c>
    </row>
    <row r="414" spans="1:11" ht="15.6" x14ac:dyDescent="0.3">
      <c r="A414" s="5" cm="1">
        <f t="array" ref="A414">1000 + ROW(414:414)</f>
        <v>1414</v>
      </c>
      <c r="B414" s="6">
        <f t="shared" ca="1" si="30"/>
        <v>45335</v>
      </c>
      <c r="C414" s="5" t="str" cm="1">
        <f t="array" aca="1" ref="C414" ca="1">INDEX({"S001","S002","S003","S004","S005"}, RANDBETWEEN(1,5))</f>
        <v>S004</v>
      </c>
      <c r="D414" s="5" t="str" cm="1">
        <f t="array" aca="1" ref="D414" ca="1">INDEX({"Mumbai","Delhi","Bangalore","Ahmedabad","Chennai"}, RANDBETWEEN(1,5))</f>
        <v>Delhi</v>
      </c>
      <c r="E414" s="5" t="str" cm="1">
        <f t="array" aca="1" ref="E414" ca="1">INDEX({"Electronics","Groceries","Furniture","Clothing","Stationery"}, RANDBETWEEN(1,5))</f>
        <v>Furniture</v>
      </c>
      <c r="F414" s="5" t="str">
        <f t="shared" ca="1" si="31"/>
        <v>T-shirt</v>
      </c>
      <c r="G414" s="8">
        <f t="shared" ca="1" si="32"/>
        <v>77</v>
      </c>
      <c r="H414" s="10">
        <f t="shared" ca="1" si="33"/>
        <v>50</v>
      </c>
      <c r="I414" s="10">
        <f t="shared" ca="1" si="34"/>
        <v>3850</v>
      </c>
      <c r="J414" s="10">
        <f ca="1">Table2[[#This Row],[Unit Price]] * RANDBETWEEN(70,90)/100</f>
        <v>44</v>
      </c>
      <c r="K414" s="12">
        <f ca="1">(Table2[[#This Row],[Unit Price]] - Table2[[#This Row],[Cost per Unit]]) * Table2[[#This Row],[Units Sold]]</f>
        <v>462</v>
      </c>
    </row>
    <row r="415" spans="1:11" ht="15.6" x14ac:dyDescent="0.3">
      <c r="A415" s="5" cm="1">
        <f t="array" ref="A415">1000 + ROW(415:415)</f>
        <v>1415</v>
      </c>
      <c r="B415" s="6">
        <f t="shared" ca="1" si="30"/>
        <v>45324</v>
      </c>
      <c r="C415" s="5" t="str" cm="1">
        <f t="array" aca="1" ref="C415" ca="1">INDEX({"S001","S002","S003","S004","S005"}, RANDBETWEEN(1,5))</f>
        <v>S001</v>
      </c>
      <c r="D415" s="5" t="str" cm="1">
        <f t="array" aca="1" ref="D415" ca="1">INDEX({"Mumbai","Delhi","Bangalore","Ahmedabad","Chennai"}, RANDBETWEEN(1,5))</f>
        <v>Delhi</v>
      </c>
      <c r="E415" s="5" t="str" cm="1">
        <f t="array" aca="1" ref="E415" ca="1">INDEX({"Electronics","Groceries","Furniture","Clothing","Stationery"}, RANDBETWEEN(1,5))</f>
        <v>Clothing</v>
      </c>
      <c r="F415" s="5" t="str">
        <f t="shared" ca="1" si="31"/>
        <v>Cooking Oil 1L</v>
      </c>
      <c r="G415" s="8">
        <f t="shared" ca="1" si="32"/>
        <v>7</v>
      </c>
      <c r="H415" s="10">
        <f t="shared" ca="1" si="33"/>
        <v>1200</v>
      </c>
      <c r="I415" s="10">
        <f t="shared" ca="1" si="34"/>
        <v>8400</v>
      </c>
      <c r="J415" s="10">
        <f ca="1">Table2[[#This Row],[Unit Price]] * RANDBETWEEN(70,90)/100</f>
        <v>1008</v>
      </c>
      <c r="K415" s="12">
        <f ca="1">(Table2[[#This Row],[Unit Price]] - Table2[[#This Row],[Cost per Unit]]) * Table2[[#This Row],[Units Sold]]</f>
        <v>1344</v>
      </c>
    </row>
    <row r="416" spans="1:11" ht="15.6" x14ac:dyDescent="0.3">
      <c r="A416" s="5" cm="1">
        <f t="array" ref="A416">1000 + ROW(416:416)</f>
        <v>1416</v>
      </c>
      <c r="B416" s="6">
        <f t="shared" ca="1" si="30"/>
        <v>45358</v>
      </c>
      <c r="C416" s="5" t="str" cm="1">
        <f t="array" aca="1" ref="C416" ca="1">INDEX({"S001","S002","S003","S004","S005"}, RANDBETWEEN(1,5))</f>
        <v>S005</v>
      </c>
      <c r="D416" s="5" t="str" cm="1">
        <f t="array" aca="1" ref="D416" ca="1">INDEX({"Mumbai","Delhi","Bangalore","Ahmedabad","Chennai"}, RANDBETWEEN(1,5))</f>
        <v>Ahmedabad</v>
      </c>
      <c r="E416" s="5" t="str" cm="1">
        <f t="array" aca="1" ref="E416" ca="1">INDEX({"Electronics","Groceries","Furniture","Clothing","Stationery"}, RANDBETWEEN(1,5))</f>
        <v>Groceries</v>
      </c>
      <c r="F416" s="5" t="str">
        <f t="shared" ca="1" si="31"/>
        <v>T-shirt</v>
      </c>
      <c r="G416" s="8">
        <f t="shared" ca="1" si="32"/>
        <v>55</v>
      </c>
      <c r="H416" s="10">
        <f t="shared" ca="1" si="33"/>
        <v>1200</v>
      </c>
      <c r="I416" s="10">
        <f t="shared" ca="1" si="34"/>
        <v>66000</v>
      </c>
      <c r="J416" s="10">
        <f ca="1">Table2[[#This Row],[Unit Price]] * RANDBETWEEN(70,90)/100</f>
        <v>972</v>
      </c>
      <c r="K416" s="12">
        <f ca="1">(Table2[[#This Row],[Unit Price]] - Table2[[#This Row],[Cost per Unit]]) * Table2[[#This Row],[Units Sold]]</f>
        <v>12540</v>
      </c>
    </row>
    <row r="417" spans="1:11" ht="15.6" x14ac:dyDescent="0.3">
      <c r="A417" s="5" cm="1">
        <f t="array" ref="A417">1000 + ROW(417:417)</f>
        <v>1417</v>
      </c>
      <c r="B417" s="6">
        <f t="shared" ca="1" si="30"/>
        <v>45375</v>
      </c>
      <c r="C417" s="5" t="str" cm="1">
        <f t="array" aca="1" ref="C417" ca="1">INDEX({"S001","S002","S003","S004","S005"}, RANDBETWEEN(1,5))</f>
        <v>S003</v>
      </c>
      <c r="D417" s="5" t="str" cm="1">
        <f t="array" aca="1" ref="D417" ca="1">INDEX({"Mumbai","Delhi","Bangalore","Ahmedabad","Chennai"}, RANDBETWEEN(1,5))</f>
        <v>Ahmedabad</v>
      </c>
      <c r="E417" s="5" t="str" cm="1">
        <f t="array" aca="1" ref="E417" ca="1">INDEX({"Electronics","Groceries","Furniture","Clothing","Stationery"}, RANDBETWEEN(1,5))</f>
        <v>Clothing</v>
      </c>
      <c r="F417" s="5" t="str">
        <f t="shared" ca="1" si="31"/>
        <v>Laptop</v>
      </c>
      <c r="G417" s="8">
        <f t="shared" ca="1" si="32"/>
        <v>51</v>
      </c>
      <c r="H417" s="10">
        <f t="shared" ca="1" si="33"/>
        <v>500</v>
      </c>
      <c r="I417" s="10">
        <f t="shared" ca="1" si="34"/>
        <v>25500</v>
      </c>
      <c r="J417" s="10">
        <f ca="1">Table2[[#This Row],[Unit Price]] * RANDBETWEEN(70,90)/100</f>
        <v>405</v>
      </c>
      <c r="K417" s="12">
        <f ca="1">(Table2[[#This Row],[Unit Price]] - Table2[[#This Row],[Cost per Unit]]) * Table2[[#This Row],[Units Sold]]</f>
        <v>4845</v>
      </c>
    </row>
    <row r="418" spans="1:11" ht="15.6" x14ac:dyDescent="0.3">
      <c r="A418" s="5" cm="1">
        <f t="array" ref="A418">1000 + ROW(418:418)</f>
        <v>1418</v>
      </c>
      <c r="B418" s="6">
        <f t="shared" ca="1" si="30"/>
        <v>45330</v>
      </c>
      <c r="C418" s="5" t="str" cm="1">
        <f t="array" aca="1" ref="C418" ca="1">INDEX({"S001","S002","S003","S004","S005"}, RANDBETWEEN(1,5))</f>
        <v>S002</v>
      </c>
      <c r="D418" s="5" t="str" cm="1">
        <f t="array" aca="1" ref="D418" ca="1">INDEX({"Mumbai","Delhi","Bangalore","Ahmedabad","Chennai"}, RANDBETWEEN(1,5))</f>
        <v>Chennai</v>
      </c>
      <c r="E418" s="5" t="str" cm="1">
        <f t="array" aca="1" ref="E418" ca="1">INDEX({"Electronics","Groceries","Furniture","Clothing","Stationery"}, RANDBETWEEN(1,5))</f>
        <v>Stationery</v>
      </c>
      <c r="F418" s="5" t="str">
        <f t="shared" ca="1" si="31"/>
        <v>Smartphone</v>
      </c>
      <c r="G418" s="8">
        <f t="shared" ca="1" si="32"/>
        <v>5</v>
      </c>
      <c r="H418" s="10">
        <f t="shared" ca="1" si="33"/>
        <v>30000</v>
      </c>
      <c r="I418" s="10">
        <f t="shared" ca="1" si="34"/>
        <v>150000</v>
      </c>
      <c r="J418" s="10">
        <f ca="1">Table2[[#This Row],[Unit Price]] * RANDBETWEEN(70,90)/100</f>
        <v>23100</v>
      </c>
      <c r="K418" s="12">
        <f ca="1">(Table2[[#This Row],[Unit Price]] - Table2[[#This Row],[Cost per Unit]]) * Table2[[#This Row],[Units Sold]]</f>
        <v>34500</v>
      </c>
    </row>
    <row r="419" spans="1:11" ht="15.6" x14ac:dyDescent="0.3">
      <c r="A419" s="5" cm="1">
        <f t="array" ref="A419">1000 + ROW(419:419)</f>
        <v>1419</v>
      </c>
      <c r="B419" s="6">
        <f t="shared" ca="1" si="30"/>
        <v>45343</v>
      </c>
      <c r="C419" s="5" t="str" cm="1">
        <f t="array" aca="1" ref="C419" ca="1">INDEX({"S001","S002","S003","S004","S005"}, RANDBETWEEN(1,5))</f>
        <v>S002</v>
      </c>
      <c r="D419" s="5" t="str" cm="1">
        <f t="array" aca="1" ref="D419" ca="1">INDEX({"Mumbai","Delhi","Bangalore","Ahmedabad","Chennai"}, RANDBETWEEN(1,5))</f>
        <v>Ahmedabad</v>
      </c>
      <c r="E419" s="5" t="str" cm="1">
        <f t="array" aca="1" ref="E419" ca="1">INDEX({"Electronics","Groceries","Furniture","Clothing","Stationery"}, RANDBETWEEN(1,5))</f>
        <v>Electronics</v>
      </c>
      <c r="F419" s="5" t="str">
        <f t="shared" ca="1" si="31"/>
        <v>Desk Lamp</v>
      </c>
      <c r="G419" s="8">
        <f t="shared" ca="1" si="32"/>
        <v>91</v>
      </c>
      <c r="H419" s="10">
        <f t="shared" ca="1" si="33"/>
        <v>30000</v>
      </c>
      <c r="I419" s="10">
        <f t="shared" ca="1" si="34"/>
        <v>2730000</v>
      </c>
      <c r="J419" s="10">
        <f ca="1">Table2[[#This Row],[Unit Price]] * RANDBETWEEN(70,90)/100</f>
        <v>25800</v>
      </c>
      <c r="K419" s="12">
        <f ca="1">(Table2[[#This Row],[Unit Price]] - Table2[[#This Row],[Cost per Unit]]) * Table2[[#This Row],[Units Sold]]</f>
        <v>382200</v>
      </c>
    </row>
    <row r="420" spans="1:11" ht="15.6" x14ac:dyDescent="0.3">
      <c r="A420" s="5" cm="1">
        <f t="array" ref="A420">1000 + ROW(420:420)</f>
        <v>1420</v>
      </c>
      <c r="B420" s="6">
        <f t="shared" ca="1" si="30"/>
        <v>45356</v>
      </c>
      <c r="C420" s="5" t="str" cm="1">
        <f t="array" aca="1" ref="C420" ca="1">INDEX({"S001","S002","S003","S004","S005"}, RANDBETWEEN(1,5))</f>
        <v>S005</v>
      </c>
      <c r="D420" s="5" t="str" cm="1">
        <f t="array" aca="1" ref="D420" ca="1">INDEX({"Mumbai","Delhi","Bangalore","Ahmedabad","Chennai"}, RANDBETWEEN(1,5))</f>
        <v>Ahmedabad</v>
      </c>
      <c r="E420" s="5" t="str" cm="1">
        <f t="array" aca="1" ref="E420" ca="1">INDEX({"Electronics","Groceries","Furniture","Clothing","Stationery"}, RANDBETWEEN(1,5))</f>
        <v>Electronics</v>
      </c>
      <c r="F420" s="5" t="str">
        <f t="shared" ca="1" si="31"/>
        <v>T-shirt</v>
      </c>
      <c r="G420" s="8">
        <f t="shared" ca="1" si="32"/>
        <v>83</v>
      </c>
      <c r="H420" s="10">
        <f t="shared" ca="1" si="33"/>
        <v>700</v>
      </c>
      <c r="I420" s="10">
        <f t="shared" ca="1" si="34"/>
        <v>58100</v>
      </c>
      <c r="J420" s="10">
        <f ca="1">Table2[[#This Row],[Unit Price]] * RANDBETWEEN(70,90)/100</f>
        <v>532</v>
      </c>
      <c r="K420" s="12">
        <f ca="1">(Table2[[#This Row],[Unit Price]] - Table2[[#This Row],[Cost per Unit]]) * Table2[[#This Row],[Units Sold]]</f>
        <v>13944</v>
      </c>
    </row>
    <row r="421" spans="1:11" ht="15.6" x14ac:dyDescent="0.3">
      <c r="A421" s="5" cm="1">
        <f t="array" ref="A421">1000 + ROW(421:421)</f>
        <v>1421</v>
      </c>
      <c r="B421" s="6">
        <f t="shared" ca="1" si="30"/>
        <v>45377</v>
      </c>
      <c r="C421" s="5" t="str" cm="1">
        <f t="array" aca="1" ref="C421" ca="1">INDEX({"S001","S002","S003","S004","S005"}, RANDBETWEEN(1,5))</f>
        <v>S002</v>
      </c>
      <c r="D421" s="5" t="str" cm="1">
        <f t="array" aca="1" ref="D421" ca="1">INDEX({"Mumbai","Delhi","Bangalore","Ahmedabad","Chennai"}, RANDBETWEEN(1,5))</f>
        <v>Bangalore</v>
      </c>
      <c r="E421" s="5" t="str" cm="1">
        <f t="array" aca="1" ref="E421" ca="1">INDEX({"Electronics","Groceries","Furniture","Clothing","Stationery"}, RANDBETWEEN(1,5))</f>
        <v>Groceries</v>
      </c>
      <c r="F421" s="5" t="str">
        <f t="shared" ca="1" si="31"/>
        <v>Cooking Oil 1L</v>
      </c>
      <c r="G421" s="8">
        <f t="shared" ca="1" si="32"/>
        <v>45</v>
      </c>
      <c r="H421" s="10">
        <f t="shared" ca="1" si="33"/>
        <v>700</v>
      </c>
      <c r="I421" s="10">
        <f t="shared" ca="1" si="34"/>
        <v>31500</v>
      </c>
      <c r="J421" s="10">
        <f ca="1">Table2[[#This Row],[Unit Price]] * RANDBETWEEN(70,90)/100</f>
        <v>532</v>
      </c>
      <c r="K421" s="12">
        <f ca="1">(Table2[[#This Row],[Unit Price]] - Table2[[#This Row],[Cost per Unit]]) * Table2[[#This Row],[Units Sold]]</f>
        <v>7560</v>
      </c>
    </row>
    <row r="422" spans="1:11" ht="15.6" x14ac:dyDescent="0.3">
      <c r="A422" s="5" cm="1">
        <f t="array" ref="A422">1000 + ROW(422:422)</f>
        <v>1422</v>
      </c>
      <c r="B422" s="6">
        <f t="shared" ca="1" si="30"/>
        <v>45321</v>
      </c>
      <c r="C422" s="5" t="str" cm="1">
        <f t="array" aca="1" ref="C422" ca="1">INDEX({"S001","S002","S003","S004","S005"}, RANDBETWEEN(1,5))</f>
        <v>S002</v>
      </c>
      <c r="D422" s="5" t="str" cm="1">
        <f t="array" aca="1" ref="D422" ca="1">INDEX({"Mumbai","Delhi","Bangalore","Ahmedabad","Chennai"}, RANDBETWEEN(1,5))</f>
        <v>Ahmedabad</v>
      </c>
      <c r="E422" s="5" t="str" cm="1">
        <f t="array" aca="1" ref="E422" ca="1">INDEX({"Electronics","Groceries","Furniture","Clothing","Stationery"}, RANDBETWEEN(1,5))</f>
        <v>Stationery</v>
      </c>
      <c r="F422" s="5" t="str">
        <f t="shared" ca="1" si="31"/>
        <v>Cooking Oil 1L</v>
      </c>
      <c r="G422" s="8">
        <f t="shared" ca="1" si="32"/>
        <v>83</v>
      </c>
      <c r="H422" s="10">
        <f t="shared" ca="1" si="33"/>
        <v>700</v>
      </c>
      <c r="I422" s="10">
        <f t="shared" ca="1" si="34"/>
        <v>58100</v>
      </c>
      <c r="J422" s="10">
        <f ca="1">Table2[[#This Row],[Unit Price]] * RANDBETWEEN(70,90)/100</f>
        <v>602</v>
      </c>
      <c r="K422" s="12">
        <f ca="1">(Table2[[#This Row],[Unit Price]] - Table2[[#This Row],[Cost per Unit]]) * Table2[[#This Row],[Units Sold]]</f>
        <v>8134</v>
      </c>
    </row>
    <row r="423" spans="1:11" ht="15.6" x14ac:dyDescent="0.3">
      <c r="A423" s="5" cm="1">
        <f t="array" ref="A423">1000 + ROW(423:423)</f>
        <v>1423</v>
      </c>
      <c r="B423" s="6">
        <f t="shared" ca="1" si="30"/>
        <v>45324</v>
      </c>
      <c r="C423" s="5" t="str" cm="1">
        <f t="array" aca="1" ref="C423" ca="1">INDEX({"S001","S002","S003","S004","S005"}, RANDBETWEEN(1,5))</f>
        <v>S001</v>
      </c>
      <c r="D423" s="5" t="str" cm="1">
        <f t="array" aca="1" ref="D423" ca="1">INDEX({"Mumbai","Delhi","Bangalore","Ahmedabad","Chennai"}, RANDBETWEEN(1,5))</f>
        <v>Ahmedabad</v>
      </c>
      <c r="E423" s="5" t="str" cm="1">
        <f t="array" aca="1" ref="E423" ca="1">INDEX({"Electronics","Groceries","Furniture","Clothing","Stationery"}, RANDBETWEEN(1,5))</f>
        <v>Electronics</v>
      </c>
      <c r="F423" s="5" t="str">
        <f t="shared" ca="1" si="31"/>
        <v>Shampoo</v>
      </c>
      <c r="G423" s="8">
        <f t="shared" ca="1" si="32"/>
        <v>26</v>
      </c>
      <c r="H423" s="10">
        <f t="shared" ca="1" si="33"/>
        <v>30000</v>
      </c>
      <c r="I423" s="10">
        <f t="shared" ca="1" si="34"/>
        <v>780000</v>
      </c>
      <c r="J423" s="10">
        <f ca="1">Table2[[#This Row],[Unit Price]] * RANDBETWEEN(70,90)/100</f>
        <v>25800</v>
      </c>
      <c r="K423" s="12">
        <f ca="1">(Table2[[#This Row],[Unit Price]] - Table2[[#This Row],[Cost per Unit]]) * Table2[[#This Row],[Units Sold]]</f>
        <v>109200</v>
      </c>
    </row>
    <row r="424" spans="1:11" ht="15.6" x14ac:dyDescent="0.3">
      <c r="A424" s="5" cm="1">
        <f t="array" ref="A424">1000 + ROW(424:424)</f>
        <v>1424</v>
      </c>
      <c r="B424" s="6">
        <f t="shared" ca="1" si="30"/>
        <v>45319</v>
      </c>
      <c r="C424" s="5" t="str" cm="1">
        <f t="array" aca="1" ref="C424" ca="1">INDEX({"S001","S002","S003","S004","S005"}, RANDBETWEEN(1,5))</f>
        <v>S004</v>
      </c>
      <c r="D424" s="5" t="str" cm="1">
        <f t="array" aca="1" ref="D424" ca="1">INDEX({"Mumbai","Delhi","Bangalore","Ahmedabad","Chennai"}, RANDBETWEEN(1,5))</f>
        <v>Delhi</v>
      </c>
      <c r="E424" s="5" t="str" cm="1">
        <f t="array" aca="1" ref="E424" ca="1">INDEX({"Electronics","Groceries","Furniture","Clothing","Stationery"}, RANDBETWEEN(1,5))</f>
        <v>Furniture</v>
      </c>
      <c r="F424" s="5" t="str">
        <f t="shared" ca="1" si="31"/>
        <v>Cooking Oil 1L</v>
      </c>
      <c r="G424" s="8">
        <f t="shared" ca="1" si="32"/>
        <v>20</v>
      </c>
      <c r="H424" s="10">
        <f t="shared" ca="1" si="33"/>
        <v>300</v>
      </c>
      <c r="I424" s="10">
        <f t="shared" ca="1" si="34"/>
        <v>6000</v>
      </c>
      <c r="J424" s="10">
        <f ca="1">Table2[[#This Row],[Unit Price]] * RANDBETWEEN(70,90)/100</f>
        <v>225</v>
      </c>
      <c r="K424" s="12">
        <f ca="1">(Table2[[#This Row],[Unit Price]] - Table2[[#This Row],[Cost per Unit]]) * Table2[[#This Row],[Units Sold]]</f>
        <v>1500</v>
      </c>
    </row>
    <row r="425" spans="1:11" ht="15.6" x14ac:dyDescent="0.3">
      <c r="A425" s="5" cm="1">
        <f t="array" ref="A425">1000 + ROW(425:425)</f>
        <v>1425</v>
      </c>
      <c r="B425" s="6">
        <f t="shared" ca="1" si="30"/>
        <v>45337</v>
      </c>
      <c r="C425" s="5" t="str" cm="1">
        <f t="array" aca="1" ref="C425" ca="1">INDEX({"S001","S002","S003","S004","S005"}, RANDBETWEEN(1,5))</f>
        <v>S004</v>
      </c>
      <c r="D425" s="5" t="str" cm="1">
        <f t="array" aca="1" ref="D425" ca="1">INDEX({"Mumbai","Delhi","Bangalore","Ahmedabad","Chennai"}, RANDBETWEEN(1,5))</f>
        <v>Bangalore</v>
      </c>
      <c r="E425" s="5" t="str" cm="1">
        <f t="array" aca="1" ref="E425" ca="1">INDEX({"Electronics","Groceries","Furniture","Clothing","Stationery"}, RANDBETWEEN(1,5))</f>
        <v>Clothing</v>
      </c>
      <c r="F425" s="5" t="str">
        <f t="shared" ca="1" si="31"/>
        <v>Notebook</v>
      </c>
      <c r="G425" s="8">
        <f t="shared" ca="1" si="32"/>
        <v>100</v>
      </c>
      <c r="H425" s="10">
        <f t="shared" ca="1" si="33"/>
        <v>700</v>
      </c>
      <c r="I425" s="10">
        <f t="shared" ca="1" si="34"/>
        <v>70000</v>
      </c>
      <c r="J425" s="10">
        <f ca="1">Table2[[#This Row],[Unit Price]] * RANDBETWEEN(70,90)/100</f>
        <v>574</v>
      </c>
      <c r="K425" s="12">
        <f ca="1">(Table2[[#This Row],[Unit Price]] - Table2[[#This Row],[Cost per Unit]]) * Table2[[#This Row],[Units Sold]]</f>
        <v>12600</v>
      </c>
    </row>
    <row r="426" spans="1:11" ht="15.6" x14ac:dyDescent="0.3">
      <c r="A426" s="5" cm="1">
        <f t="array" ref="A426">1000 + ROW(426:426)</f>
        <v>1426</v>
      </c>
      <c r="B426" s="6">
        <f t="shared" ca="1" si="30"/>
        <v>45368</v>
      </c>
      <c r="C426" s="5" t="str" cm="1">
        <f t="array" aca="1" ref="C426" ca="1">INDEX({"S001","S002","S003","S004","S005"}, RANDBETWEEN(1,5))</f>
        <v>S002</v>
      </c>
      <c r="D426" s="5" t="str" cm="1">
        <f t="array" aca="1" ref="D426" ca="1">INDEX({"Mumbai","Delhi","Bangalore","Ahmedabad","Chennai"}, RANDBETWEEN(1,5))</f>
        <v>Delhi</v>
      </c>
      <c r="E426" s="5" t="str" cm="1">
        <f t="array" aca="1" ref="E426" ca="1">INDEX({"Electronics","Groceries","Furniture","Clothing","Stationery"}, RANDBETWEEN(1,5))</f>
        <v>Groceries</v>
      </c>
      <c r="F426" s="5" t="str">
        <f t="shared" ca="1" si="31"/>
        <v>T-shirt</v>
      </c>
      <c r="G426" s="8">
        <f t="shared" ca="1" si="32"/>
        <v>20</v>
      </c>
      <c r="H426" s="10">
        <f t="shared" ca="1" si="33"/>
        <v>900</v>
      </c>
      <c r="I426" s="10">
        <f t="shared" ca="1" si="34"/>
        <v>18000</v>
      </c>
      <c r="J426" s="10">
        <f ca="1">Table2[[#This Row],[Unit Price]] * RANDBETWEEN(70,90)/100</f>
        <v>711</v>
      </c>
      <c r="K426" s="12">
        <f ca="1">(Table2[[#This Row],[Unit Price]] - Table2[[#This Row],[Cost per Unit]]) * Table2[[#This Row],[Units Sold]]</f>
        <v>3780</v>
      </c>
    </row>
    <row r="427" spans="1:11" ht="15.6" x14ac:dyDescent="0.3">
      <c r="A427" s="5" cm="1">
        <f t="array" ref="A427">1000 + ROW(427:427)</f>
        <v>1427</v>
      </c>
      <c r="B427" s="6">
        <f t="shared" ca="1" si="30"/>
        <v>45349</v>
      </c>
      <c r="C427" s="5" t="str" cm="1">
        <f t="array" aca="1" ref="C427" ca="1">INDEX({"S001","S002","S003","S004","S005"}, RANDBETWEEN(1,5))</f>
        <v>S003</v>
      </c>
      <c r="D427" s="5" t="str" cm="1">
        <f t="array" aca="1" ref="D427" ca="1">INDEX({"Mumbai","Delhi","Bangalore","Ahmedabad","Chennai"}, RANDBETWEEN(1,5))</f>
        <v>Mumbai</v>
      </c>
      <c r="E427" s="5" t="str" cm="1">
        <f t="array" aca="1" ref="E427" ca="1">INDEX({"Electronics","Groceries","Furniture","Clothing","Stationery"}, RANDBETWEEN(1,5))</f>
        <v>Stationery</v>
      </c>
      <c r="F427" s="5" t="str">
        <f t="shared" ca="1" si="31"/>
        <v>Laptop</v>
      </c>
      <c r="G427" s="8">
        <f t="shared" ca="1" si="32"/>
        <v>74</v>
      </c>
      <c r="H427" s="10">
        <f t="shared" ca="1" si="33"/>
        <v>30000</v>
      </c>
      <c r="I427" s="10">
        <f t="shared" ca="1" si="34"/>
        <v>2220000</v>
      </c>
      <c r="J427" s="10">
        <f ca="1">Table2[[#This Row],[Unit Price]] * RANDBETWEEN(70,90)/100</f>
        <v>22200</v>
      </c>
      <c r="K427" s="12">
        <f ca="1">(Table2[[#This Row],[Unit Price]] - Table2[[#This Row],[Cost per Unit]]) * Table2[[#This Row],[Units Sold]]</f>
        <v>577200</v>
      </c>
    </row>
    <row r="428" spans="1:11" ht="15.6" x14ac:dyDescent="0.3">
      <c r="A428" s="5" cm="1">
        <f t="array" ref="A428">1000 + ROW(428:428)</f>
        <v>1428</v>
      </c>
      <c r="B428" s="6">
        <f t="shared" ca="1" si="30"/>
        <v>45297</v>
      </c>
      <c r="C428" s="5" t="str" cm="1">
        <f t="array" aca="1" ref="C428" ca="1">INDEX({"S001","S002","S003","S004","S005"}, RANDBETWEEN(1,5))</f>
        <v>S002</v>
      </c>
      <c r="D428" s="5" t="str" cm="1">
        <f t="array" aca="1" ref="D428" ca="1">INDEX({"Mumbai","Delhi","Bangalore","Ahmedabad","Chennai"}, RANDBETWEEN(1,5))</f>
        <v>Ahmedabad</v>
      </c>
      <c r="E428" s="5" t="str" cm="1">
        <f t="array" aca="1" ref="E428" ca="1">INDEX({"Electronics","Groceries","Furniture","Clothing","Stationery"}, RANDBETWEEN(1,5))</f>
        <v>Furniture</v>
      </c>
      <c r="F428" s="5" t="str">
        <f t="shared" ca="1" si="31"/>
        <v>Laptop</v>
      </c>
      <c r="G428" s="8">
        <f t="shared" ca="1" si="32"/>
        <v>9</v>
      </c>
      <c r="H428" s="10">
        <f t="shared" ca="1" si="33"/>
        <v>1200</v>
      </c>
      <c r="I428" s="10">
        <f t="shared" ca="1" si="34"/>
        <v>10800</v>
      </c>
      <c r="J428" s="10">
        <f ca="1">Table2[[#This Row],[Unit Price]] * RANDBETWEEN(70,90)/100</f>
        <v>840</v>
      </c>
      <c r="K428" s="12">
        <f ca="1">(Table2[[#This Row],[Unit Price]] - Table2[[#This Row],[Cost per Unit]]) * Table2[[#This Row],[Units Sold]]</f>
        <v>3240</v>
      </c>
    </row>
    <row r="429" spans="1:11" ht="15.6" x14ac:dyDescent="0.3">
      <c r="A429" s="5" cm="1">
        <f t="array" ref="A429">1000 + ROW(429:429)</f>
        <v>1429</v>
      </c>
      <c r="B429" s="6">
        <f t="shared" ca="1" si="30"/>
        <v>45292</v>
      </c>
      <c r="C429" s="5" t="str" cm="1">
        <f t="array" aca="1" ref="C429" ca="1">INDEX({"S001","S002","S003","S004","S005"}, RANDBETWEEN(1,5))</f>
        <v>S005</v>
      </c>
      <c r="D429" s="5" t="str" cm="1">
        <f t="array" aca="1" ref="D429" ca="1">INDEX({"Mumbai","Delhi","Bangalore","Ahmedabad","Chennai"}, RANDBETWEEN(1,5))</f>
        <v>Delhi</v>
      </c>
      <c r="E429" s="5" t="str" cm="1">
        <f t="array" aca="1" ref="E429" ca="1">INDEX({"Electronics","Groceries","Furniture","Clothing","Stationery"}, RANDBETWEEN(1,5))</f>
        <v>Stationery</v>
      </c>
      <c r="F429" s="5" t="str">
        <f t="shared" ca="1" si="31"/>
        <v>Laptop</v>
      </c>
      <c r="G429" s="8">
        <f t="shared" ca="1" si="32"/>
        <v>54</v>
      </c>
      <c r="H429" s="10">
        <f t="shared" ca="1" si="33"/>
        <v>900</v>
      </c>
      <c r="I429" s="10">
        <f t="shared" ca="1" si="34"/>
        <v>48600</v>
      </c>
      <c r="J429" s="10">
        <f ca="1">Table2[[#This Row],[Unit Price]] * RANDBETWEEN(70,90)/100</f>
        <v>783</v>
      </c>
      <c r="K429" s="12">
        <f ca="1">(Table2[[#This Row],[Unit Price]] - Table2[[#This Row],[Cost per Unit]]) * Table2[[#This Row],[Units Sold]]</f>
        <v>6318</v>
      </c>
    </row>
    <row r="430" spans="1:11" ht="15.6" x14ac:dyDescent="0.3">
      <c r="A430" s="5" cm="1">
        <f t="array" ref="A430">1000 + ROW(430:430)</f>
        <v>1430</v>
      </c>
      <c r="B430" s="6">
        <f t="shared" ca="1" si="30"/>
        <v>45326</v>
      </c>
      <c r="C430" s="5" t="str" cm="1">
        <f t="array" aca="1" ref="C430" ca="1">INDEX({"S001","S002","S003","S004","S005"}, RANDBETWEEN(1,5))</f>
        <v>S002</v>
      </c>
      <c r="D430" s="5" t="str" cm="1">
        <f t="array" aca="1" ref="D430" ca="1">INDEX({"Mumbai","Delhi","Bangalore","Ahmedabad","Chennai"}, RANDBETWEEN(1,5))</f>
        <v>Bangalore</v>
      </c>
      <c r="E430" s="5" t="str" cm="1">
        <f t="array" aca="1" ref="E430" ca="1">INDEX({"Electronics","Groceries","Furniture","Clothing","Stationery"}, RANDBETWEEN(1,5))</f>
        <v>Groceries</v>
      </c>
      <c r="F430" s="5" t="str">
        <f t="shared" ca="1" si="31"/>
        <v>Cooking Oil 1L</v>
      </c>
      <c r="G430" s="8">
        <f t="shared" ca="1" si="32"/>
        <v>72</v>
      </c>
      <c r="H430" s="10">
        <f t="shared" ca="1" si="33"/>
        <v>30000</v>
      </c>
      <c r="I430" s="10">
        <f t="shared" ca="1" si="34"/>
        <v>2160000</v>
      </c>
      <c r="J430" s="10">
        <f ca="1">Table2[[#This Row],[Unit Price]] * RANDBETWEEN(70,90)/100</f>
        <v>27000</v>
      </c>
      <c r="K430" s="12">
        <f ca="1">(Table2[[#This Row],[Unit Price]] - Table2[[#This Row],[Cost per Unit]]) * Table2[[#This Row],[Units Sold]]</f>
        <v>216000</v>
      </c>
    </row>
    <row r="431" spans="1:11" ht="15.6" x14ac:dyDescent="0.3">
      <c r="A431" s="5" cm="1">
        <f t="array" ref="A431">1000 + ROW(431:431)</f>
        <v>1431</v>
      </c>
      <c r="B431" s="6">
        <f t="shared" ca="1" si="30"/>
        <v>45322</v>
      </c>
      <c r="C431" s="5" t="str" cm="1">
        <f t="array" aca="1" ref="C431" ca="1">INDEX({"S001","S002","S003","S004","S005"}, RANDBETWEEN(1,5))</f>
        <v>S004</v>
      </c>
      <c r="D431" s="5" t="str" cm="1">
        <f t="array" aca="1" ref="D431" ca="1">INDEX({"Mumbai","Delhi","Bangalore","Ahmedabad","Chennai"}, RANDBETWEEN(1,5))</f>
        <v>Mumbai</v>
      </c>
      <c r="E431" s="5" t="str" cm="1">
        <f t="array" aca="1" ref="E431" ca="1">INDEX({"Electronics","Groceries","Furniture","Clothing","Stationery"}, RANDBETWEEN(1,5))</f>
        <v>Furniture</v>
      </c>
      <c r="F431" s="5" t="str">
        <f t="shared" ca="1" si="31"/>
        <v>Table</v>
      </c>
      <c r="G431" s="8">
        <f t="shared" ca="1" si="32"/>
        <v>92</v>
      </c>
      <c r="H431" s="10">
        <f t="shared" ca="1" si="33"/>
        <v>300</v>
      </c>
      <c r="I431" s="10">
        <f t="shared" ca="1" si="34"/>
        <v>27600</v>
      </c>
      <c r="J431" s="10">
        <f ca="1">Table2[[#This Row],[Unit Price]] * RANDBETWEEN(70,90)/100</f>
        <v>252</v>
      </c>
      <c r="K431" s="12">
        <f ca="1">(Table2[[#This Row],[Unit Price]] - Table2[[#This Row],[Cost per Unit]]) * Table2[[#This Row],[Units Sold]]</f>
        <v>4416</v>
      </c>
    </row>
    <row r="432" spans="1:11" ht="15.6" x14ac:dyDescent="0.3">
      <c r="A432" s="5" cm="1">
        <f t="array" ref="A432">1000 + ROW(432:432)</f>
        <v>1432</v>
      </c>
      <c r="B432" s="6">
        <f t="shared" ca="1" si="30"/>
        <v>45338</v>
      </c>
      <c r="C432" s="5" t="str" cm="1">
        <f t="array" aca="1" ref="C432" ca="1">INDEX({"S001","S002","S003","S004","S005"}, RANDBETWEEN(1,5))</f>
        <v>S005</v>
      </c>
      <c r="D432" s="5" t="str" cm="1">
        <f t="array" aca="1" ref="D432" ca="1">INDEX({"Mumbai","Delhi","Bangalore","Ahmedabad","Chennai"}, RANDBETWEEN(1,5))</f>
        <v>Chennai</v>
      </c>
      <c r="E432" s="5" t="str" cm="1">
        <f t="array" aca="1" ref="E432" ca="1">INDEX({"Electronics","Groceries","Furniture","Clothing","Stationery"}, RANDBETWEEN(1,5))</f>
        <v>Groceries</v>
      </c>
      <c r="F432" s="5" t="str">
        <f t="shared" ca="1" si="31"/>
        <v>Desk Lamp</v>
      </c>
      <c r="G432" s="8">
        <f t="shared" ca="1" si="32"/>
        <v>1</v>
      </c>
      <c r="H432" s="10">
        <f t="shared" ca="1" si="33"/>
        <v>300</v>
      </c>
      <c r="I432" s="10">
        <f t="shared" ca="1" si="34"/>
        <v>300</v>
      </c>
      <c r="J432" s="10">
        <f ca="1">Table2[[#This Row],[Unit Price]] * RANDBETWEEN(70,90)/100</f>
        <v>222</v>
      </c>
      <c r="K432" s="12">
        <f ca="1">(Table2[[#This Row],[Unit Price]] - Table2[[#This Row],[Cost per Unit]]) * Table2[[#This Row],[Units Sold]]</f>
        <v>78</v>
      </c>
    </row>
    <row r="433" spans="1:11" ht="15.6" x14ac:dyDescent="0.3">
      <c r="A433" s="5" cm="1">
        <f t="array" ref="A433">1000 + ROW(433:433)</f>
        <v>1433</v>
      </c>
      <c r="B433" s="6">
        <f t="shared" ca="1" si="30"/>
        <v>45372</v>
      </c>
      <c r="C433" s="5" t="str" cm="1">
        <f t="array" aca="1" ref="C433" ca="1">INDEX({"S001","S002","S003","S004","S005"}, RANDBETWEEN(1,5))</f>
        <v>S002</v>
      </c>
      <c r="D433" s="5" t="str" cm="1">
        <f t="array" aca="1" ref="D433" ca="1">INDEX({"Mumbai","Delhi","Bangalore","Ahmedabad","Chennai"}, RANDBETWEEN(1,5))</f>
        <v>Bangalore</v>
      </c>
      <c r="E433" s="5" t="str" cm="1">
        <f t="array" aca="1" ref="E433" ca="1">INDEX({"Electronics","Groceries","Furniture","Clothing","Stationery"}, RANDBETWEEN(1,5))</f>
        <v>Electronics</v>
      </c>
      <c r="F433" s="5" t="str">
        <f t="shared" ca="1" si="31"/>
        <v>Table</v>
      </c>
      <c r="G433" s="8">
        <f t="shared" ca="1" si="32"/>
        <v>72</v>
      </c>
      <c r="H433" s="10">
        <f t="shared" ca="1" si="33"/>
        <v>900</v>
      </c>
      <c r="I433" s="10">
        <f t="shared" ca="1" si="34"/>
        <v>64800</v>
      </c>
      <c r="J433" s="10">
        <f ca="1">Table2[[#This Row],[Unit Price]] * RANDBETWEEN(70,90)/100</f>
        <v>693</v>
      </c>
      <c r="K433" s="12">
        <f ca="1">(Table2[[#This Row],[Unit Price]] - Table2[[#This Row],[Cost per Unit]]) * Table2[[#This Row],[Units Sold]]</f>
        <v>14904</v>
      </c>
    </row>
    <row r="434" spans="1:11" ht="15.6" x14ac:dyDescent="0.3">
      <c r="A434" s="5" cm="1">
        <f t="array" ref="A434">1000 + ROW(434:434)</f>
        <v>1434</v>
      </c>
      <c r="B434" s="6">
        <f t="shared" ca="1" si="30"/>
        <v>45293</v>
      </c>
      <c r="C434" s="5" t="str" cm="1">
        <f t="array" aca="1" ref="C434" ca="1">INDEX({"S001","S002","S003","S004","S005"}, RANDBETWEEN(1,5))</f>
        <v>S005</v>
      </c>
      <c r="D434" s="5" t="str" cm="1">
        <f t="array" aca="1" ref="D434" ca="1">INDEX({"Mumbai","Delhi","Bangalore","Ahmedabad","Chennai"}, RANDBETWEEN(1,5))</f>
        <v>Chennai</v>
      </c>
      <c r="E434" s="5" t="str" cm="1">
        <f t="array" aca="1" ref="E434" ca="1">INDEX({"Electronics","Groceries","Furniture","Clothing","Stationery"}, RANDBETWEEN(1,5))</f>
        <v>Furniture</v>
      </c>
      <c r="F434" s="5" t="str">
        <f t="shared" ca="1" si="31"/>
        <v>Rice 5kg</v>
      </c>
      <c r="G434" s="8">
        <f t="shared" ca="1" si="32"/>
        <v>76</v>
      </c>
      <c r="H434" s="10">
        <f t="shared" ca="1" si="33"/>
        <v>30000</v>
      </c>
      <c r="I434" s="10">
        <f t="shared" ca="1" si="34"/>
        <v>2280000</v>
      </c>
      <c r="J434" s="10">
        <f ca="1">Table2[[#This Row],[Unit Price]] * RANDBETWEEN(70,90)/100</f>
        <v>25500</v>
      </c>
      <c r="K434" s="12">
        <f ca="1">(Table2[[#This Row],[Unit Price]] - Table2[[#This Row],[Cost per Unit]]) * Table2[[#This Row],[Units Sold]]</f>
        <v>342000</v>
      </c>
    </row>
    <row r="435" spans="1:11" ht="15.6" x14ac:dyDescent="0.3">
      <c r="A435" s="5" cm="1">
        <f t="array" ref="A435">1000 + ROW(435:435)</f>
        <v>1435</v>
      </c>
      <c r="B435" s="6">
        <f t="shared" ca="1" si="30"/>
        <v>45295</v>
      </c>
      <c r="C435" s="5" t="str" cm="1">
        <f t="array" aca="1" ref="C435" ca="1">INDEX({"S001","S002","S003","S004","S005"}, RANDBETWEEN(1,5))</f>
        <v>S003</v>
      </c>
      <c r="D435" s="5" t="str" cm="1">
        <f t="array" aca="1" ref="D435" ca="1">INDEX({"Mumbai","Delhi","Bangalore","Ahmedabad","Chennai"}, RANDBETWEEN(1,5))</f>
        <v>Chennai</v>
      </c>
      <c r="E435" s="5" t="str" cm="1">
        <f t="array" aca="1" ref="E435" ca="1">INDEX({"Electronics","Groceries","Furniture","Clothing","Stationery"}, RANDBETWEEN(1,5))</f>
        <v>Stationery</v>
      </c>
      <c r="F435" s="5" t="str">
        <f t="shared" ca="1" si="31"/>
        <v>Cooking Oil 1L</v>
      </c>
      <c r="G435" s="8">
        <f t="shared" ca="1" si="32"/>
        <v>30</v>
      </c>
      <c r="H435" s="10">
        <f t="shared" ca="1" si="33"/>
        <v>15000</v>
      </c>
      <c r="I435" s="10">
        <f t="shared" ca="1" si="34"/>
        <v>450000</v>
      </c>
      <c r="J435" s="10">
        <f ca="1">Table2[[#This Row],[Unit Price]] * RANDBETWEEN(70,90)/100</f>
        <v>13200</v>
      </c>
      <c r="K435" s="12">
        <f ca="1">(Table2[[#This Row],[Unit Price]] - Table2[[#This Row],[Cost per Unit]]) * Table2[[#This Row],[Units Sold]]</f>
        <v>54000</v>
      </c>
    </row>
    <row r="436" spans="1:11" ht="15.6" x14ac:dyDescent="0.3">
      <c r="A436" s="5" cm="1">
        <f t="array" ref="A436">1000 + ROW(436:436)</f>
        <v>1436</v>
      </c>
      <c r="B436" s="6">
        <f t="shared" ca="1" si="30"/>
        <v>45371</v>
      </c>
      <c r="C436" s="5" t="str" cm="1">
        <f t="array" aca="1" ref="C436" ca="1">INDEX({"S001","S002","S003","S004","S005"}, RANDBETWEEN(1,5))</f>
        <v>S002</v>
      </c>
      <c r="D436" s="5" t="str" cm="1">
        <f t="array" aca="1" ref="D436" ca="1">INDEX({"Mumbai","Delhi","Bangalore","Ahmedabad","Chennai"}, RANDBETWEEN(1,5))</f>
        <v>Ahmedabad</v>
      </c>
      <c r="E436" s="5" t="str" cm="1">
        <f t="array" aca="1" ref="E436" ca="1">INDEX({"Electronics","Groceries","Furniture","Clothing","Stationery"}, RANDBETWEEN(1,5))</f>
        <v>Electronics</v>
      </c>
      <c r="F436" s="5" t="str">
        <f t="shared" ca="1" si="31"/>
        <v>Shampoo</v>
      </c>
      <c r="G436" s="8">
        <f t="shared" ca="1" si="32"/>
        <v>94</v>
      </c>
      <c r="H436" s="10">
        <f t="shared" ca="1" si="33"/>
        <v>30000</v>
      </c>
      <c r="I436" s="10">
        <f t="shared" ca="1" si="34"/>
        <v>2820000</v>
      </c>
      <c r="J436" s="10">
        <f ca="1">Table2[[#This Row],[Unit Price]] * RANDBETWEEN(70,90)/100</f>
        <v>25500</v>
      </c>
      <c r="K436" s="12">
        <f ca="1">(Table2[[#This Row],[Unit Price]] - Table2[[#This Row],[Cost per Unit]]) * Table2[[#This Row],[Units Sold]]</f>
        <v>423000</v>
      </c>
    </row>
    <row r="437" spans="1:11" ht="15.6" x14ac:dyDescent="0.3">
      <c r="A437" s="5" cm="1">
        <f t="array" ref="A437">1000 + ROW(437:437)</f>
        <v>1437</v>
      </c>
      <c r="B437" s="6">
        <f t="shared" ca="1" si="30"/>
        <v>45378</v>
      </c>
      <c r="C437" s="5" t="str" cm="1">
        <f t="array" aca="1" ref="C437" ca="1">INDEX({"S001","S002","S003","S004","S005"}, RANDBETWEEN(1,5))</f>
        <v>S004</v>
      </c>
      <c r="D437" s="5" t="str" cm="1">
        <f t="array" aca="1" ref="D437" ca="1">INDEX({"Mumbai","Delhi","Bangalore","Ahmedabad","Chennai"}, RANDBETWEEN(1,5))</f>
        <v>Chennai</v>
      </c>
      <c r="E437" s="5" t="str" cm="1">
        <f t="array" aca="1" ref="E437" ca="1">INDEX({"Electronics","Groceries","Furniture","Clothing","Stationery"}, RANDBETWEEN(1,5))</f>
        <v>Electronics</v>
      </c>
      <c r="F437" s="5" t="str">
        <f t="shared" ca="1" si="31"/>
        <v>Office Chair</v>
      </c>
      <c r="G437" s="8">
        <f t="shared" ca="1" si="32"/>
        <v>34</v>
      </c>
      <c r="H437" s="10">
        <f t="shared" ca="1" si="33"/>
        <v>250</v>
      </c>
      <c r="I437" s="10">
        <f t="shared" ca="1" si="34"/>
        <v>8500</v>
      </c>
      <c r="J437" s="10">
        <f ca="1">Table2[[#This Row],[Unit Price]] * RANDBETWEEN(70,90)/100</f>
        <v>202.5</v>
      </c>
      <c r="K437" s="12">
        <f ca="1">(Table2[[#This Row],[Unit Price]] - Table2[[#This Row],[Cost per Unit]]) * Table2[[#This Row],[Units Sold]]</f>
        <v>1615</v>
      </c>
    </row>
    <row r="438" spans="1:11" ht="15.6" x14ac:dyDescent="0.3">
      <c r="A438" s="5" cm="1">
        <f t="array" ref="A438">1000 + ROW(438:438)</f>
        <v>1438</v>
      </c>
      <c r="B438" s="6">
        <f t="shared" ca="1" si="30"/>
        <v>45353</v>
      </c>
      <c r="C438" s="5" t="str" cm="1">
        <f t="array" aca="1" ref="C438" ca="1">INDEX({"S001","S002","S003","S004","S005"}, RANDBETWEEN(1,5))</f>
        <v>S005</v>
      </c>
      <c r="D438" s="5" t="str" cm="1">
        <f t="array" aca="1" ref="D438" ca="1">INDEX({"Mumbai","Delhi","Bangalore","Ahmedabad","Chennai"}, RANDBETWEEN(1,5))</f>
        <v>Mumbai</v>
      </c>
      <c r="E438" s="5" t="str" cm="1">
        <f t="array" aca="1" ref="E438" ca="1">INDEX({"Electronics","Groceries","Furniture","Clothing","Stationery"}, RANDBETWEEN(1,5))</f>
        <v>Clothing</v>
      </c>
      <c r="F438" s="5" t="str">
        <f t="shared" ca="1" si="31"/>
        <v>Notebook</v>
      </c>
      <c r="G438" s="8">
        <f t="shared" ca="1" si="32"/>
        <v>25</v>
      </c>
      <c r="H438" s="10">
        <f t="shared" ca="1" si="33"/>
        <v>300</v>
      </c>
      <c r="I438" s="10">
        <f t="shared" ca="1" si="34"/>
        <v>7500</v>
      </c>
      <c r="J438" s="10">
        <f ca="1">Table2[[#This Row],[Unit Price]] * RANDBETWEEN(70,90)/100</f>
        <v>228</v>
      </c>
      <c r="K438" s="12">
        <f ca="1">(Table2[[#This Row],[Unit Price]] - Table2[[#This Row],[Cost per Unit]]) * Table2[[#This Row],[Units Sold]]</f>
        <v>1800</v>
      </c>
    </row>
    <row r="439" spans="1:11" ht="15.6" x14ac:dyDescent="0.3">
      <c r="A439" s="5" cm="1">
        <f t="array" ref="A439">1000 + ROW(439:439)</f>
        <v>1439</v>
      </c>
      <c r="B439" s="6">
        <f t="shared" ca="1" si="30"/>
        <v>45344</v>
      </c>
      <c r="C439" s="5" t="str" cm="1">
        <f t="array" aca="1" ref="C439" ca="1">INDEX({"S001","S002","S003","S004","S005"}, RANDBETWEEN(1,5))</f>
        <v>S003</v>
      </c>
      <c r="D439" s="5" t="str" cm="1">
        <f t="array" aca="1" ref="D439" ca="1">INDEX({"Mumbai","Delhi","Bangalore","Ahmedabad","Chennai"}, RANDBETWEEN(1,5))</f>
        <v>Mumbai</v>
      </c>
      <c r="E439" s="5" t="str" cm="1">
        <f t="array" aca="1" ref="E439" ca="1">INDEX({"Electronics","Groceries","Furniture","Clothing","Stationery"}, RANDBETWEEN(1,5))</f>
        <v>Electronics</v>
      </c>
      <c r="F439" s="5" t="str">
        <f t="shared" ca="1" si="31"/>
        <v>Office Chair</v>
      </c>
      <c r="G439" s="8">
        <f t="shared" ca="1" si="32"/>
        <v>25</v>
      </c>
      <c r="H439" s="10">
        <f t="shared" ca="1" si="33"/>
        <v>900</v>
      </c>
      <c r="I439" s="10">
        <f t="shared" ca="1" si="34"/>
        <v>22500</v>
      </c>
      <c r="J439" s="10">
        <f ca="1">Table2[[#This Row],[Unit Price]] * RANDBETWEEN(70,90)/100</f>
        <v>684</v>
      </c>
      <c r="K439" s="12">
        <f ca="1">(Table2[[#This Row],[Unit Price]] - Table2[[#This Row],[Cost per Unit]]) * Table2[[#This Row],[Units Sold]]</f>
        <v>5400</v>
      </c>
    </row>
    <row r="440" spans="1:11" ht="15.6" x14ac:dyDescent="0.3">
      <c r="A440" s="5" cm="1">
        <f t="array" ref="A440">1000 + ROW(440:440)</f>
        <v>1440</v>
      </c>
      <c r="B440" s="6">
        <f t="shared" ca="1" si="30"/>
        <v>45314</v>
      </c>
      <c r="C440" s="5" t="str" cm="1">
        <f t="array" aca="1" ref="C440" ca="1">INDEX({"S001","S002","S003","S004","S005"}, RANDBETWEEN(1,5))</f>
        <v>S005</v>
      </c>
      <c r="D440" s="5" t="str" cm="1">
        <f t="array" aca="1" ref="D440" ca="1">INDEX({"Mumbai","Delhi","Bangalore","Ahmedabad","Chennai"}, RANDBETWEEN(1,5))</f>
        <v>Mumbai</v>
      </c>
      <c r="E440" s="5" t="str" cm="1">
        <f t="array" aca="1" ref="E440" ca="1">INDEX({"Electronics","Groceries","Furniture","Clothing","Stationery"}, RANDBETWEEN(1,5))</f>
        <v>Furniture</v>
      </c>
      <c r="F440" s="5" t="str">
        <f t="shared" ca="1" si="31"/>
        <v>Desk Lamp</v>
      </c>
      <c r="G440" s="8">
        <f t="shared" ca="1" si="32"/>
        <v>75</v>
      </c>
      <c r="H440" s="10">
        <f t="shared" ca="1" si="33"/>
        <v>15000</v>
      </c>
      <c r="I440" s="10">
        <f t="shared" ca="1" si="34"/>
        <v>1125000</v>
      </c>
      <c r="J440" s="10">
        <f ca="1">Table2[[#This Row],[Unit Price]] * RANDBETWEEN(70,90)/100</f>
        <v>13500</v>
      </c>
      <c r="K440" s="12">
        <f ca="1">(Table2[[#This Row],[Unit Price]] - Table2[[#This Row],[Cost per Unit]]) * Table2[[#This Row],[Units Sold]]</f>
        <v>112500</v>
      </c>
    </row>
    <row r="441" spans="1:11" ht="15.6" x14ac:dyDescent="0.3">
      <c r="A441" s="5" cm="1">
        <f t="array" ref="A441">1000 + ROW(441:441)</f>
        <v>1441</v>
      </c>
      <c r="B441" s="6">
        <f t="shared" ca="1" si="30"/>
        <v>45332</v>
      </c>
      <c r="C441" s="5" t="str" cm="1">
        <f t="array" aca="1" ref="C441" ca="1">INDEX({"S001","S002","S003","S004","S005"}, RANDBETWEEN(1,5))</f>
        <v>S001</v>
      </c>
      <c r="D441" s="5" t="str" cm="1">
        <f t="array" aca="1" ref="D441" ca="1">INDEX({"Mumbai","Delhi","Bangalore","Ahmedabad","Chennai"}, RANDBETWEEN(1,5))</f>
        <v>Mumbai</v>
      </c>
      <c r="E441" s="5" t="str" cm="1">
        <f t="array" aca="1" ref="E441" ca="1">INDEX({"Electronics","Groceries","Furniture","Clothing","Stationery"}, RANDBETWEEN(1,5))</f>
        <v>Furniture</v>
      </c>
      <c r="F441" s="5" t="str">
        <f t="shared" ca="1" si="31"/>
        <v>Rice 5kg</v>
      </c>
      <c r="G441" s="8">
        <f t="shared" ca="1" si="32"/>
        <v>63</v>
      </c>
      <c r="H441" s="10">
        <f t="shared" ca="1" si="33"/>
        <v>30000</v>
      </c>
      <c r="I441" s="10">
        <f t="shared" ca="1" si="34"/>
        <v>1890000</v>
      </c>
      <c r="J441" s="10">
        <f ca="1">Table2[[#This Row],[Unit Price]] * RANDBETWEEN(70,90)/100</f>
        <v>26700</v>
      </c>
      <c r="K441" s="12">
        <f ca="1">(Table2[[#This Row],[Unit Price]] - Table2[[#This Row],[Cost per Unit]]) * Table2[[#This Row],[Units Sold]]</f>
        <v>207900</v>
      </c>
    </row>
    <row r="442" spans="1:11" ht="15.6" x14ac:dyDescent="0.3">
      <c r="A442" s="5" cm="1">
        <f t="array" ref="A442">1000 + ROW(442:442)</f>
        <v>1442</v>
      </c>
      <c r="B442" s="6">
        <f t="shared" ca="1" si="30"/>
        <v>45376</v>
      </c>
      <c r="C442" s="5" t="str" cm="1">
        <f t="array" aca="1" ref="C442" ca="1">INDEX({"S001","S002","S003","S004","S005"}, RANDBETWEEN(1,5))</f>
        <v>S002</v>
      </c>
      <c r="D442" s="5" t="str" cm="1">
        <f t="array" aca="1" ref="D442" ca="1">INDEX({"Mumbai","Delhi","Bangalore","Ahmedabad","Chennai"}, RANDBETWEEN(1,5))</f>
        <v>Mumbai</v>
      </c>
      <c r="E442" s="5" t="str" cm="1">
        <f t="array" aca="1" ref="E442" ca="1">INDEX({"Electronics","Groceries","Furniture","Clothing","Stationery"}, RANDBETWEEN(1,5))</f>
        <v>Stationery</v>
      </c>
      <c r="F442" s="5" t="str">
        <f t="shared" ca="1" si="31"/>
        <v>Desk Lamp</v>
      </c>
      <c r="G442" s="8">
        <f t="shared" ca="1" si="32"/>
        <v>78</v>
      </c>
      <c r="H442" s="10">
        <f t="shared" ca="1" si="33"/>
        <v>150</v>
      </c>
      <c r="I442" s="10">
        <f t="shared" ca="1" si="34"/>
        <v>11700</v>
      </c>
      <c r="J442" s="10">
        <f ca="1">Table2[[#This Row],[Unit Price]] * RANDBETWEEN(70,90)/100</f>
        <v>112.5</v>
      </c>
      <c r="K442" s="12">
        <f ca="1">(Table2[[#This Row],[Unit Price]] - Table2[[#This Row],[Cost per Unit]]) * Table2[[#This Row],[Units Sold]]</f>
        <v>2925</v>
      </c>
    </row>
    <row r="443" spans="1:11" ht="15.6" x14ac:dyDescent="0.3">
      <c r="A443" s="5" cm="1">
        <f t="array" ref="A443">1000 + ROW(443:443)</f>
        <v>1443</v>
      </c>
      <c r="B443" s="6">
        <f t="shared" ca="1" si="30"/>
        <v>45309</v>
      </c>
      <c r="C443" s="5" t="str" cm="1">
        <f t="array" aca="1" ref="C443" ca="1">INDEX({"S001","S002","S003","S004","S005"}, RANDBETWEEN(1,5))</f>
        <v>S004</v>
      </c>
      <c r="D443" s="5" t="str" cm="1">
        <f t="array" aca="1" ref="D443" ca="1">INDEX({"Mumbai","Delhi","Bangalore","Ahmedabad","Chennai"}, RANDBETWEEN(1,5))</f>
        <v>Chennai</v>
      </c>
      <c r="E443" s="5" t="str" cm="1">
        <f t="array" aca="1" ref="E443" ca="1">INDEX({"Electronics","Groceries","Furniture","Clothing","Stationery"}, RANDBETWEEN(1,5))</f>
        <v>Stationery</v>
      </c>
      <c r="F443" s="5" t="str">
        <f t="shared" ca="1" si="31"/>
        <v>Laptop</v>
      </c>
      <c r="G443" s="8">
        <f t="shared" ca="1" si="32"/>
        <v>63</v>
      </c>
      <c r="H443" s="10">
        <f t="shared" ca="1" si="33"/>
        <v>50</v>
      </c>
      <c r="I443" s="10">
        <f t="shared" ca="1" si="34"/>
        <v>3150</v>
      </c>
      <c r="J443" s="10">
        <f ca="1">Table2[[#This Row],[Unit Price]] * RANDBETWEEN(70,90)/100</f>
        <v>35</v>
      </c>
      <c r="K443" s="12">
        <f ca="1">(Table2[[#This Row],[Unit Price]] - Table2[[#This Row],[Cost per Unit]]) * Table2[[#This Row],[Units Sold]]</f>
        <v>945</v>
      </c>
    </row>
    <row r="444" spans="1:11" ht="15.6" x14ac:dyDescent="0.3">
      <c r="A444" s="5" cm="1">
        <f t="array" ref="A444">1000 + ROW(444:444)</f>
        <v>1444</v>
      </c>
      <c r="B444" s="6">
        <f t="shared" ca="1" si="30"/>
        <v>45293</v>
      </c>
      <c r="C444" s="5" t="str" cm="1">
        <f t="array" aca="1" ref="C444" ca="1">INDEX({"S001","S002","S003","S004","S005"}, RANDBETWEEN(1,5))</f>
        <v>S003</v>
      </c>
      <c r="D444" s="5" t="str" cm="1">
        <f t="array" aca="1" ref="D444" ca="1">INDEX({"Mumbai","Delhi","Bangalore","Ahmedabad","Chennai"}, RANDBETWEEN(1,5))</f>
        <v>Delhi</v>
      </c>
      <c r="E444" s="5" t="str" cm="1">
        <f t="array" aca="1" ref="E444" ca="1">INDEX({"Electronics","Groceries","Furniture","Clothing","Stationery"}, RANDBETWEEN(1,5))</f>
        <v>Clothing</v>
      </c>
      <c r="F444" s="5" t="str">
        <f t="shared" ca="1" si="31"/>
        <v>Rice 5kg</v>
      </c>
      <c r="G444" s="8">
        <f t="shared" ca="1" si="32"/>
        <v>82</v>
      </c>
      <c r="H444" s="10">
        <f t="shared" ca="1" si="33"/>
        <v>900</v>
      </c>
      <c r="I444" s="10">
        <f t="shared" ca="1" si="34"/>
        <v>73800</v>
      </c>
      <c r="J444" s="10">
        <f ca="1">Table2[[#This Row],[Unit Price]] * RANDBETWEEN(70,90)/100</f>
        <v>639</v>
      </c>
      <c r="K444" s="12">
        <f ca="1">(Table2[[#This Row],[Unit Price]] - Table2[[#This Row],[Cost per Unit]]) * Table2[[#This Row],[Units Sold]]</f>
        <v>21402</v>
      </c>
    </row>
    <row r="445" spans="1:11" ht="15.6" x14ac:dyDescent="0.3">
      <c r="A445" s="5" cm="1">
        <f t="array" ref="A445">1000 + ROW(445:445)</f>
        <v>1445</v>
      </c>
      <c r="B445" s="6">
        <f t="shared" ca="1" si="30"/>
        <v>45374</v>
      </c>
      <c r="C445" s="5" t="str" cm="1">
        <f t="array" aca="1" ref="C445" ca="1">INDEX({"S001","S002","S003","S004","S005"}, RANDBETWEEN(1,5))</f>
        <v>S004</v>
      </c>
      <c r="D445" s="5" t="str" cm="1">
        <f t="array" aca="1" ref="D445" ca="1">INDEX({"Mumbai","Delhi","Bangalore","Ahmedabad","Chennai"}, RANDBETWEEN(1,5))</f>
        <v>Chennai</v>
      </c>
      <c r="E445" s="5" t="str" cm="1">
        <f t="array" aca="1" ref="E445" ca="1">INDEX({"Electronics","Groceries","Furniture","Clothing","Stationery"}, RANDBETWEEN(1,5))</f>
        <v>Furniture</v>
      </c>
      <c r="F445" s="5" t="str">
        <f t="shared" ca="1" si="31"/>
        <v>Cooking Oil 1L</v>
      </c>
      <c r="G445" s="8">
        <f t="shared" ca="1" si="32"/>
        <v>29</v>
      </c>
      <c r="H445" s="10">
        <f t="shared" ca="1" si="33"/>
        <v>150</v>
      </c>
      <c r="I445" s="10">
        <f t="shared" ca="1" si="34"/>
        <v>4350</v>
      </c>
      <c r="J445" s="10">
        <f ca="1">Table2[[#This Row],[Unit Price]] * RANDBETWEEN(70,90)/100</f>
        <v>135</v>
      </c>
      <c r="K445" s="12">
        <f ca="1">(Table2[[#This Row],[Unit Price]] - Table2[[#This Row],[Cost per Unit]]) * Table2[[#This Row],[Units Sold]]</f>
        <v>435</v>
      </c>
    </row>
    <row r="446" spans="1:11" ht="15.6" x14ac:dyDescent="0.3">
      <c r="A446" s="5" cm="1">
        <f t="array" ref="A446">1000 + ROW(446:446)</f>
        <v>1446</v>
      </c>
      <c r="B446" s="6">
        <f t="shared" ca="1" si="30"/>
        <v>45329</v>
      </c>
      <c r="C446" s="5" t="str" cm="1">
        <f t="array" aca="1" ref="C446" ca="1">INDEX({"S001","S002","S003","S004","S005"}, RANDBETWEEN(1,5))</f>
        <v>S001</v>
      </c>
      <c r="D446" s="5" t="str" cm="1">
        <f t="array" aca="1" ref="D446" ca="1">INDEX({"Mumbai","Delhi","Bangalore","Ahmedabad","Chennai"}, RANDBETWEEN(1,5))</f>
        <v>Mumbai</v>
      </c>
      <c r="E446" s="5" t="str" cm="1">
        <f t="array" aca="1" ref="E446" ca="1">INDEX({"Electronics","Groceries","Furniture","Clothing","Stationery"}, RANDBETWEEN(1,5))</f>
        <v>Clothing</v>
      </c>
      <c r="F446" s="5" t="str">
        <f t="shared" ca="1" si="31"/>
        <v>T-shirt</v>
      </c>
      <c r="G446" s="8">
        <f t="shared" ca="1" si="32"/>
        <v>75</v>
      </c>
      <c r="H446" s="10">
        <f t="shared" ca="1" si="33"/>
        <v>50</v>
      </c>
      <c r="I446" s="10">
        <f t="shared" ca="1" si="34"/>
        <v>3750</v>
      </c>
      <c r="J446" s="10">
        <f ca="1">Table2[[#This Row],[Unit Price]] * RANDBETWEEN(70,90)/100</f>
        <v>42.5</v>
      </c>
      <c r="K446" s="12">
        <f ca="1">(Table2[[#This Row],[Unit Price]] - Table2[[#This Row],[Cost per Unit]]) * Table2[[#This Row],[Units Sold]]</f>
        <v>562.5</v>
      </c>
    </row>
    <row r="447" spans="1:11" ht="15.6" x14ac:dyDescent="0.3">
      <c r="A447" s="5" cm="1">
        <f t="array" ref="A447">1000 + ROW(447:447)</f>
        <v>1447</v>
      </c>
      <c r="B447" s="6">
        <f t="shared" ca="1" si="30"/>
        <v>45365</v>
      </c>
      <c r="C447" s="5" t="str" cm="1">
        <f t="array" aca="1" ref="C447" ca="1">INDEX({"S001","S002","S003","S004","S005"}, RANDBETWEEN(1,5))</f>
        <v>S001</v>
      </c>
      <c r="D447" s="5" t="str" cm="1">
        <f t="array" aca="1" ref="D447" ca="1">INDEX({"Mumbai","Delhi","Bangalore","Ahmedabad","Chennai"}, RANDBETWEEN(1,5))</f>
        <v>Bangalore</v>
      </c>
      <c r="E447" s="5" t="str" cm="1">
        <f t="array" aca="1" ref="E447" ca="1">INDEX({"Electronics","Groceries","Furniture","Clothing","Stationery"}, RANDBETWEEN(1,5))</f>
        <v>Electronics</v>
      </c>
      <c r="F447" s="5" t="str">
        <f t="shared" ca="1" si="31"/>
        <v>Desk Lamp</v>
      </c>
      <c r="G447" s="8">
        <f t="shared" ca="1" si="32"/>
        <v>88</v>
      </c>
      <c r="H447" s="10">
        <f t="shared" ca="1" si="33"/>
        <v>50</v>
      </c>
      <c r="I447" s="10">
        <f t="shared" ca="1" si="34"/>
        <v>4400</v>
      </c>
      <c r="J447" s="10">
        <f ca="1">Table2[[#This Row],[Unit Price]] * RANDBETWEEN(70,90)/100</f>
        <v>42</v>
      </c>
      <c r="K447" s="12">
        <f ca="1">(Table2[[#This Row],[Unit Price]] - Table2[[#This Row],[Cost per Unit]]) * Table2[[#This Row],[Units Sold]]</f>
        <v>704</v>
      </c>
    </row>
    <row r="448" spans="1:11" ht="15.6" x14ac:dyDescent="0.3">
      <c r="A448" s="5" cm="1">
        <f t="array" ref="A448">1000 + ROW(448:448)</f>
        <v>1448</v>
      </c>
      <c r="B448" s="6">
        <f t="shared" ca="1" si="30"/>
        <v>45325</v>
      </c>
      <c r="C448" s="5" t="str" cm="1">
        <f t="array" aca="1" ref="C448" ca="1">INDEX({"S001","S002","S003","S004","S005"}, RANDBETWEEN(1,5))</f>
        <v>S004</v>
      </c>
      <c r="D448" s="5" t="str" cm="1">
        <f t="array" aca="1" ref="D448" ca="1">INDEX({"Mumbai","Delhi","Bangalore","Ahmedabad","Chennai"}, RANDBETWEEN(1,5))</f>
        <v>Bangalore</v>
      </c>
      <c r="E448" s="5" t="str" cm="1">
        <f t="array" aca="1" ref="E448" ca="1">INDEX({"Electronics","Groceries","Furniture","Clothing","Stationery"}, RANDBETWEEN(1,5))</f>
        <v>Clothing</v>
      </c>
      <c r="F448" s="5" t="str">
        <f t="shared" ca="1" si="31"/>
        <v>Shampoo</v>
      </c>
      <c r="G448" s="8">
        <f t="shared" ca="1" si="32"/>
        <v>77</v>
      </c>
      <c r="H448" s="10">
        <f t="shared" ca="1" si="33"/>
        <v>50</v>
      </c>
      <c r="I448" s="10">
        <f t="shared" ca="1" si="34"/>
        <v>3850</v>
      </c>
      <c r="J448" s="10">
        <f ca="1">Table2[[#This Row],[Unit Price]] * RANDBETWEEN(70,90)/100</f>
        <v>41</v>
      </c>
      <c r="K448" s="12">
        <f ca="1">(Table2[[#This Row],[Unit Price]] - Table2[[#This Row],[Cost per Unit]]) * Table2[[#This Row],[Units Sold]]</f>
        <v>693</v>
      </c>
    </row>
    <row r="449" spans="1:11" ht="15.6" x14ac:dyDescent="0.3">
      <c r="A449" s="5" cm="1">
        <f t="array" ref="A449">1000 + ROW(449:449)</f>
        <v>1449</v>
      </c>
      <c r="B449" s="6">
        <f t="shared" ca="1" si="30"/>
        <v>45303</v>
      </c>
      <c r="C449" s="5" t="str" cm="1">
        <f t="array" aca="1" ref="C449" ca="1">INDEX({"S001","S002","S003","S004","S005"}, RANDBETWEEN(1,5))</f>
        <v>S003</v>
      </c>
      <c r="D449" s="5" t="str" cm="1">
        <f t="array" aca="1" ref="D449" ca="1">INDEX({"Mumbai","Delhi","Bangalore","Ahmedabad","Chennai"}, RANDBETWEEN(1,5))</f>
        <v>Bangalore</v>
      </c>
      <c r="E449" s="5" t="str" cm="1">
        <f t="array" aca="1" ref="E449" ca="1">INDEX({"Electronics","Groceries","Furniture","Clothing","Stationery"}, RANDBETWEEN(1,5))</f>
        <v>Clothing</v>
      </c>
      <c r="F449" s="5" t="str">
        <f t="shared" ca="1" si="31"/>
        <v>Office Chair</v>
      </c>
      <c r="G449" s="8">
        <f t="shared" ca="1" si="32"/>
        <v>41</v>
      </c>
      <c r="H449" s="10">
        <f t="shared" ca="1" si="33"/>
        <v>150</v>
      </c>
      <c r="I449" s="10">
        <f t="shared" ca="1" si="34"/>
        <v>6150</v>
      </c>
      <c r="J449" s="10">
        <f ca="1">Table2[[#This Row],[Unit Price]] * RANDBETWEEN(70,90)/100</f>
        <v>121.5</v>
      </c>
      <c r="K449" s="12">
        <f ca="1">(Table2[[#This Row],[Unit Price]] - Table2[[#This Row],[Cost per Unit]]) * Table2[[#This Row],[Units Sold]]</f>
        <v>1168.5</v>
      </c>
    </row>
    <row r="450" spans="1:11" ht="15.6" x14ac:dyDescent="0.3">
      <c r="A450" s="5" cm="1">
        <f t="array" ref="A450">1000 + ROW(450:450)</f>
        <v>1450</v>
      </c>
      <c r="B450" s="6">
        <f t="shared" ref="B450:B513" ca="1" si="35">RANDBETWEEN(DATE(2024,1,1), DATE(2024,3,31))</f>
        <v>45313</v>
      </c>
      <c r="C450" s="5" t="str" cm="1">
        <f t="array" aca="1" ref="C450" ca="1">INDEX({"S001","S002","S003","S004","S005"}, RANDBETWEEN(1,5))</f>
        <v>S002</v>
      </c>
      <c r="D450" s="5" t="str" cm="1">
        <f t="array" aca="1" ref="D450" ca="1">INDEX({"Mumbai","Delhi","Bangalore","Ahmedabad","Chennai"}, RANDBETWEEN(1,5))</f>
        <v>Chennai</v>
      </c>
      <c r="E450" s="5" t="str" cm="1">
        <f t="array" aca="1" ref="E450" ca="1">INDEX({"Electronics","Groceries","Furniture","Clothing","Stationery"}, RANDBETWEEN(1,5))</f>
        <v>Stationery</v>
      </c>
      <c r="F450" s="5" t="str">
        <f t="shared" ref="F450:F513" ca="1" si="36">CHOOSE(RANDBETWEEN(1,10),
 "Smartphone","Laptop","Rice 5kg","Cooking Oil 1L",
 "Office Chair","Table","T-shirt","Notebook",
 "Desk Lamp","Shampoo")</f>
        <v>Cooking Oil 1L</v>
      </c>
      <c r="G450" s="8">
        <f t="shared" ref="G450:G513" ca="1" si="37">RANDBETWEEN(1,100)</f>
        <v>87</v>
      </c>
      <c r="H450" s="10">
        <f t="shared" ref="H450:H513" ca="1" si="38">CHOOSE(RANDBETWEEN(1,10), 15000, 30000, 250, 500, 1200, 700, 300, 50, 900, 150)</f>
        <v>700</v>
      </c>
      <c r="I450" s="10">
        <f t="shared" ref="I450:I513" ca="1" si="39">G450 * H450</f>
        <v>60900</v>
      </c>
      <c r="J450" s="10">
        <f ca="1">Table2[[#This Row],[Unit Price]] * RANDBETWEEN(70,90)/100</f>
        <v>497</v>
      </c>
      <c r="K450" s="12">
        <f ca="1">(Table2[[#This Row],[Unit Price]] - Table2[[#This Row],[Cost per Unit]]) * Table2[[#This Row],[Units Sold]]</f>
        <v>17661</v>
      </c>
    </row>
    <row r="451" spans="1:11" ht="15.6" x14ac:dyDescent="0.3">
      <c r="A451" s="5" cm="1">
        <f t="array" ref="A451">1000 + ROW(451:451)</f>
        <v>1451</v>
      </c>
      <c r="B451" s="6">
        <f t="shared" ca="1" si="35"/>
        <v>45313</v>
      </c>
      <c r="C451" s="5" t="str" cm="1">
        <f t="array" aca="1" ref="C451" ca="1">INDEX({"S001","S002","S003","S004","S005"}, RANDBETWEEN(1,5))</f>
        <v>S002</v>
      </c>
      <c r="D451" s="5" t="str" cm="1">
        <f t="array" aca="1" ref="D451" ca="1">INDEX({"Mumbai","Delhi","Bangalore","Ahmedabad","Chennai"}, RANDBETWEEN(1,5))</f>
        <v>Mumbai</v>
      </c>
      <c r="E451" s="5" t="str" cm="1">
        <f t="array" aca="1" ref="E451" ca="1">INDEX({"Electronics","Groceries","Furniture","Clothing","Stationery"}, RANDBETWEEN(1,5))</f>
        <v>Stationery</v>
      </c>
      <c r="F451" s="5" t="str">
        <f t="shared" ca="1" si="36"/>
        <v>T-shirt</v>
      </c>
      <c r="G451" s="8">
        <f t="shared" ca="1" si="37"/>
        <v>37</v>
      </c>
      <c r="H451" s="10">
        <f t="shared" ca="1" si="38"/>
        <v>700</v>
      </c>
      <c r="I451" s="10">
        <f t="shared" ca="1" si="39"/>
        <v>25900</v>
      </c>
      <c r="J451" s="10">
        <f ca="1">Table2[[#This Row],[Unit Price]] * RANDBETWEEN(70,90)/100</f>
        <v>567</v>
      </c>
      <c r="K451" s="12">
        <f ca="1">(Table2[[#This Row],[Unit Price]] - Table2[[#This Row],[Cost per Unit]]) * Table2[[#This Row],[Units Sold]]</f>
        <v>4921</v>
      </c>
    </row>
    <row r="452" spans="1:11" ht="15.6" x14ac:dyDescent="0.3">
      <c r="A452" s="5" cm="1">
        <f t="array" ref="A452">1000 + ROW(452:452)</f>
        <v>1452</v>
      </c>
      <c r="B452" s="6">
        <f t="shared" ca="1" si="35"/>
        <v>45342</v>
      </c>
      <c r="C452" s="5" t="str" cm="1">
        <f t="array" aca="1" ref="C452" ca="1">INDEX({"S001","S002","S003","S004","S005"}, RANDBETWEEN(1,5))</f>
        <v>S003</v>
      </c>
      <c r="D452" s="5" t="str" cm="1">
        <f t="array" aca="1" ref="D452" ca="1">INDEX({"Mumbai","Delhi","Bangalore","Ahmedabad","Chennai"}, RANDBETWEEN(1,5))</f>
        <v>Mumbai</v>
      </c>
      <c r="E452" s="5" t="str" cm="1">
        <f t="array" aca="1" ref="E452" ca="1">INDEX({"Electronics","Groceries","Furniture","Clothing","Stationery"}, RANDBETWEEN(1,5))</f>
        <v>Clothing</v>
      </c>
      <c r="F452" s="5" t="str">
        <f t="shared" ca="1" si="36"/>
        <v>Notebook</v>
      </c>
      <c r="G452" s="8">
        <f t="shared" ca="1" si="37"/>
        <v>4</v>
      </c>
      <c r="H452" s="10">
        <f t="shared" ca="1" si="38"/>
        <v>300</v>
      </c>
      <c r="I452" s="10">
        <f t="shared" ca="1" si="39"/>
        <v>1200</v>
      </c>
      <c r="J452" s="10">
        <f ca="1">Table2[[#This Row],[Unit Price]] * RANDBETWEEN(70,90)/100</f>
        <v>228</v>
      </c>
      <c r="K452" s="12">
        <f ca="1">(Table2[[#This Row],[Unit Price]] - Table2[[#This Row],[Cost per Unit]]) * Table2[[#This Row],[Units Sold]]</f>
        <v>288</v>
      </c>
    </row>
    <row r="453" spans="1:11" ht="15.6" x14ac:dyDescent="0.3">
      <c r="A453" s="5" cm="1">
        <f t="array" ref="A453">1000 + ROW(453:453)</f>
        <v>1453</v>
      </c>
      <c r="B453" s="6">
        <f t="shared" ca="1" si="35"/>
        <v>45356</v>
      </c>
      <c r="C453" s="5" t="str" cm="1">
        <f t="array" aca="1" ref="C453" ca="1">INDEX({"S001","S002","S003","S004","S005"}, RANDBETWEEN(1,5))</f>
        <v>S004</v>
      </c>
      <c r="D453" s="5" t="str" cm="1">
        <f t="array" aca="1" ref="D453" ca="1">INDEX({"Mumbai","Delhi","Bangalore","Ahmedabad","Chennai"}, RANDBETWEEN(1,5))</f>
        <v>Mumbai</v>
      </c>
      <c r="E453" s="5" t="str" cm="1">
        <f t="array" aca="1" ref="E453" ca="1">INDEX({"Electronics","Groceries","Furniture","Clothing","Stationery"}, RANDBETWEEN(1,5))</f>
        <v>Clothing</v>
      </c>
      <c r="F453" s="5" t="str">
        <f t="shared" ca="1" si="36"/>
        <v>Desk Lamp</v>
      </c>
      <c r="G453" s="8">
        <f t="shared" ca="1" si="37"/>
        <v>36</v>
      </c>
      <c r="H453" s="10">
        <f t="shared" ca="1" si="38"/>
        <v>500</v>
      </c>
      <c r="I453" s="10">
        <f t="shared" ca="1" si="39"/>
        <v>18000</v>
      </c>
      <c r="J453" s="10">
        <f ca="1">Table2[[#This Row],[Unit Price]] * RANDBETWEEN(70,90)/100</f>
        <v>410</v>
      </c>
      <c r="K453" s="12">
        <f ca="1">(Table2[[#This Row],[Unit Price]] - Table2[[#This Row],[Cost per Unit]]) * Table2[[#This Row],[Units Sold]]</f>
        <v>3240</v>
      </c>
    </row>
    <row r="454" spans="1:11" ht="15.6" x14ac:dyDescent="0.3">
      <c r="A454" s="5" cm="1">
        <f t="array" ref="A454">1000 + ROW(454:454)</f>
        <v>1454</v>
      </c>
      <c r="B454" s="6">
        <f t="shared" ca="1" si="35"/>
        <v>45311</v>
      </c>
      <c r="C454" s="5" t="str" cm="1">
        <f t="array" aca="1" ref="C454" ca="1">INDEX({"S001","S002","S003","S004","S005"}, RANDBETWEEN(1,5))</f>
        <v>S004</v>
      </c>
      <c r="D454" s="5" t="str" cm="1">
        <f t="array" aca="1" ref="D454" ca="1">INDEX({"Mumbai","Delhi","Bangalore","Ahmedabad","Chennai"}, RANDBETWEEN(1,5))</f>
        <v>Bangalore</v>
      </c>
      <c r="E454" s="5" t="str" cm="1">
        <f t="array" aca="1" ref="E454" ca="1">INDEX({"Electronics","Groceries","Furniture","Clothing","Stationery"}, RANDBETWEEN(1,5))</f>
        <v>Groceries</v>
      </c>
      <c r="F454" s="5" t="str">
        <f t="shared" ca="1" si="36"/>
        <v>Smartphone</v>
      </c>
      <c r="G454" s="8">
        <f t="shared" ca="1" si="37"/>
        <v>77</v>
      </c>
      <c r="H454" s="10">
        <f t="shared" ca="1" si="38"/>
        <v>1200</v>
      </c>
      <c r="I454" s="10">
        <f t="shared" ca="1" si="39"/>
        <v>92400</v>
      </c>
      <c r="J454" s="10">
        <f ca="1">Table2[[#This Row],[Unit Price]] * RANDBETWEEN(70,90)/100</f>
        <v>1068</v>
      </c>
      <c r="K454" s="12">
        <f ca="1">(Table2[[#This Row],[Unit Price]] - Table2[[#This Row],[Cost per Unit]]) * Table2[[#This Row],[Units Sold]]</f>
        <v>10164</v>
      </c>
    </row>
    <row r="455" spans="1:11" ht="15.6" x14ac:dyDescent="0.3">
      <c r="A455" s="5" cm="1">
        <f t="array" ref="A455">1000 + ROW(455:455)</f>
        <v>1455</v>
      </c>
      <c r="B455" s="6">
        <f t="shared" ca="1" si="35"/>
        <v>45313</v>
      </c>
      <c r="C455" s="5" t="str" cm="1">
        <f t="array" aca="1" ref="C455" ca="1">INDEX({"S001","S002","S003","S004","S005"}, RANDBETWEEN(1,5))</f>
        <v>S002</v>
      </c>
      <c r="D455" s="5" t="str" cm="1">
        <f t="array" aca="1" ref="D455" ca="1">INDEX({"Mumbai","Delhi","Bangalore","Ahmedabad","Chennai"}, RANDBETWEEN(1,5))</f>
        <v>Ahmedabad</v>
      </c>
      <c r="E455" s="5" t="str" cm="1">
        <f t="array" aca="1" ref="E455" ca="1">INDEX({"Electronics","Groceries","Furniture","Clothing","Stationery"}, RANDBETWEEN(1,5))</f>
        <v>Stationery</v>
      </c>
      <c r="F455" s="5" t="str">
        <f t="shared" ca="1" si="36"/>
        <v>Notebook</v>
      </c>
      <c r="G455" s="8">
        <f t="shared" ca="1" si="37"/>
        <v>78</v>
      </c>
      <c r="H455" s="10">
        <f t="shared" ca="1" si="38"/>
        <v>1200</v>
      </c>
      <c r="I455" s="10">
        <f t="shared" ca="1" si="39"/>
        <v>93600</v>
      </c>
      <c r="J455" s="10">
        <f ca="1">Table2[[#This Row],[Unit Price]] * RANDBETWEEN(70,90)/100</f>
        <v>1080</v>
      </c>
      <c r="K455" s="12">
        <f ca="1">(Table2[[#This Row],[Unit Price]] - Table2[[#This Row],[Cost per Unit]]) * Table2[[#This Row],[Units Sold]]</f>
        <v>9360</v>
      </c>
    </row>
    <row r="456" spans="1:11" ht="15.6" x14ac:dyDescent="0.3">
      <c r="A456" s="5" cm="1">
        <f t="array" ref="A456">1000 + ROW(456:456)</f>
        <v>1456</v>
      </c>
      <c r="B456" s="6">
        <f t="shared" ca="1" si="35"/>
        <v>45324</v>
      </c>
      <c r="C456" s="5" t="str" cm="1">
        <f t="array" aca="1" ref="C456" ca="1">INDEX({"S001","S002","S003","S004","S005"}, RANDBETWEEN(1,5))</f>
        <v>S001</v>
      </c>
      <c r="D456" s="5" t="str" cm="1">
        <f t="array" aca="1" ref="D456" ca="1">INDEX({"Mumbai","Delhi","Bangalore","Ahmedabad","Chennai"}, RANDBETWEEN(1,5))</f>
        <v>Ahmedabad</v>
      </c>
      <c r="E456" s="5" t="str" cm="1">
        <f t="array" aca="1" ref="E456" ca="1">INDEX({"Electronics","Groceries","Furniture","Clothing","Stationery"}, RANDBETWEEN(1,5))</f>
        <v>Furniture</v>
      </c>
      <c r="F456" s="5" t="str">
        <f t="shared" ca="1" si="36"/>
        <v>Table</v>
      </c>
      <c r="G456" s="8">
        <f t="shared" ca="1" si="37"/>
        <v>47</v>
      </c>
      <c r="H456" s="10">
        <f t="shared" ca="1" si="38"/>
        <v>700</v>
      </c>
      <c r="I456" s="10">
        <f t="shared" ca="1" si="39"/>
        <v>32900</v>
      </c>
      <c r="J456" s="10">
        <f ca="1">Table2[[#This Row],[Unit Price]] * RANDBETWEEN(70,90)/100</f>
        <v>567</v>
      </c>
      <c r="K456" s="12">
        <f ca="1">(Table2[[#This Row],[Unit Price]] - Table2[[#This Row],[Cost per Unit]]) * Table2[[#This Row],[Units Sold]]</f>
        <v>6251</v>
      </c>
    </row>
    <row r="457" spans="1:11" ht="15.6" x14ac:dyDescent="0.3">
      <c r="A457" s="5" cm="1">
        <f t="array" ref="A457">1000 + ROW(457:457)</f>
        <v>1457</v>
      </c>
      <c r="B457" s="6">
        <f t="shared" ca="1" si="35"/>
        <v>45330</v>
      </c>
      <c r="C457" s="5" t="str" cm="1">
        <f t="array" aca="1" ref="C457" ca="1">INDEX({"S001","S002","S003","S004","S005"}, RANDBETWEEN(1,5))</f>
        <v>S005</v>
      </c>
      <c r="D457" s="5" t="str" cm="1">
        <f t="array" aca="1" ref="D457" ca="1">INDEX({"Mumbai","Delhi","Bangalore","Ahmedabad","Chennai"}, RANDBETWEEN(1,5))</f>
        <v>Chennai</v>
      </c>
      <c r="E457" s="5" t="str" cm="1">
        <f t="array" aca="1" ref="E457" ca="1">INDEX({"Electronics","Groceries","Furniture","Clothing","Stationery"}, RANDBETWEEN(1,5))</f>
        <v>Groceries</v>
      </c>
      <c r="F457" s="5" t="str">
        <f t="shared" ca="1" si="36"/>
        <v>Smartphone</v>
      </c>
      <c r="G457" s="8">
        <f t="shared" ca="1" si="37"/>
        <v>87</v>
      </c>
      <c r="H457" s="10">
        <f t="shared" ca="1" si="38"/>
        <v>150</v>
      </c>
      <c r="I457" s="10">
        <f t="shared" ca="1" si="39"/>
        <v>13050</v>
      </c>
      <c r="J457" s="10">
        <f ca="1">Table2[[#This Row],[Unit Price]] * RANDBETWEEN(70,90)/100</f>
        <v>133.5</v>
      </c>
      <c r="K457" s="12">
        <f ca="1">(Table2[[#This Row],[Unit Price]] - Table2[[#This Row],[Cost per Unit]]) * Table2[[#This Row],[Units Sold]]</f>
        <v>1435.5</v>
      </c>
    </row>
    <row r="458" spans="1:11" ht="15.6" x14ac:dyDescent="0.3">
      <c r="A458" s="5" cm="1">
        <f t="array" ref="A458">1000 + ROW(458:458)</f>
        <v>1458</v>
      </c>
      <c r="B458" s="6">
        <f t="shared" ca="1" si="35"/>
        <v>45356</v>
      </c>
      <c r="C458" s="5" t="str" cm="1">
        <f t="array" aca="1" ref="C458" ca="1">INDEX({"S001","S002","S003","S004","S005"}, RANDBETWEEN(1,5))</f>
        <v>S001</v>
      </c>
      <c r="D458" s="5" t="str" cm="1">
        <f t="array" aca="1" ref="D458" ca="1">INDEX({"Mumbai","Delhi","Bangalore","Ahmedabad","Chennai"}, RANDBETWEEN(1,5))</f>
        <v>Chennai</v>
      </c>
      <c r="E458" s="5" t="str" cm="1">
        <f t="array" aca="1" ref="E458" ca="1">INDEX({"Electronics","Groceries","Furniture","Clothing","Stationery"}, RANDBETWEEN(1,5))</f>
        <v>Stationery</v>
      </c>
      <c r="F458" s="5" t="str">
        <f t="shared" ca="1" si="36"/>
        <v>Table</v>
      </c>
      <c r="G458" s="8">
        <f t="shared" ca="1" si="37"/>
        <v>56</v>
      </c>
      <c r="H458" s="10">
        <f t="shared" ca="1" si="38"/>
        <v>300</v>
      </c>
      <c r="I458" s="10">
        <f t="shared" ca="1" si="39"/>
        <v>16800</v>
      </c>
      <c r="J458" s="10">
        <f ca="1">Table2[[#This Row],[Unit Price]] * RANDBETWEEN(70,90)/100</f>
        <v>252</v>
      </c>
      <c r="K458" s="12">
        <f ca="1">(Table2[[#This Row],[Unit Price]] - Table2[[#This Row],[Cost per Unit]]) * Table2[[#This Row],[Units Sold]]</f>
        <v>2688</v>
      </c>
    </row>
    <row r="459" spans="1:11" ht="15.6" x14ac:dyDescent="0.3">
      <c r="A459" s="5" cm="1">
        <f t="array" ref="A459">1000 + ROW(459:459)</f>
        <v>1459</v>
      </c>
      <c r="B459" s="6">
        <f t="shared" ca="1" si="35"/>
        <v>45373</v>
      </c>
      <c r="C459" s="5" t="str" cm="1">
        <f t="array" aca="1" ref="C459" ca="1">INDEX({"S001","S002","S003","S004","S005"}, RANDBETWEEN(1,5))</f>
        <v>S004</v>
      </c>
      <c r="D459" s="5" t="str" cm="1">
        <f t="array" aca="1" ref="D459" ca="1">INDEX({"Mumbai","Delhi","Bangalore","Ahmedabad","Chennai"}, RANDBETWEEN(1,5))</f>
        <v>Ahmedabad</v>
      </c>
      <c r="E459" s="5" t="str" cm="1">
        <f t="array" aca="1" ref="E459" ca="1">INDEX({"Electronics","Groceries","Furniture","Clothing","Stationery"}, RANDBETWEEN(1,5))</f>
        <v>Stationery</v>
      </c>
      <c r="F459" s="5" t="str">
        <f t="shared" ca="1" si="36"/>
        <v>Shampoo</v>
      </c>
      <c r="G459" s="8">
        <f t="shared" ca="1" si="37"/>
        <v>26</v>
      </c>
      <c r="H459" s="10">
        <f t="shared" ca="1" si="38"/>
        <v>15000</v>
      </c>
      <c r="I459" s="10">
        <f t="shared" ca="1" si="39"/>
        <v>390000</v>
      </c>
      <c r="J459" s="10">
        <f ca="1">Table2[[#This Row],[Unit Price]] * RANDBETWEEN(70,90)/100</f>
        <v>12750</v>
      </c>
      <c r="K459" s="12">
        <f ca="1">(Table2[[#This Row],[Unit Price]] - Table2[[#This Row],[Cost per Unit]]) * Table2[[#This Row],[Units Sold]]</f>
        <v>58500</v>
      </c>
    </row>
    <row r="460" spans="1:11" ht="15.6" x14ac:dyDescent="0.3">
      <c r="A460" s="5" cm="1">
        <f t="array" ref="A460">1000 + ROW(460:460)</f>
        <v>1460</v>
      </c>
      <c r="B460" s="6">
        <f t="shared" ca="1" si="35"/>
        <v>45326</v>
      </c>
      <c r="C460" s="5" t="str" cm="1">
        <f t="array" aca="1" ref="C460" ca="1">INDEX({"S001","S002","S003","S004","S005"}, RANDBETWEEN(1,5))</f>
        <v>S003</v>
      </c>
      <c r="D460" s="5" t="str" cm="1">
        <f t="array" aca="1" ref="D460" ca="1">INDEX({"Mumbai","Delhi","Bangalore","Ahmedabad","Chennai"}, RANDBETWEEN(1,5))</f>
        <v>Chennai</v>
      </c>
      <c r="E460" s="5" t="str" cm="1">
        <f t="array" aca="1" ref="E460" ca="1">INDEX({"Electronics","Groceries","Furniture","Clothing","Stationery"}, RANDBETWEEN(1,5))</f>
        <v>Stationery</v>
      </c>
      <c r="F460" s="5" t="str">
        <f t="shared" ca="1" si="36"/>
        <v>Desk Lamp</v>
      </c>
      <c r="G460" s="8">
        <f t="shared" ca="1" si="37"/>
        <v>64</v>
      </c>
      <c r="H460" s="10">
        <f t="shared" ca="1" si="38"/>
        <v>1200</v>
      </c>
      <c r="I460" s="10">
        <f t="shared" ca="1" si="39"/>
        <v>76800</v>
      </c>
      <c r="J460" s="10">
        <f ca="1">Table2[[#This Row],[Unit Price]] * RANDBETWEEN(70,90)/100</f>
        <v>984</v>
      </c>
      <c r="K460" s="12">
        <f ca="1">(Table2[[#This Row],[Unit Price]] - Table2[[#This Row],[Cost per Unit]]) * Table2[[#This Row],[Units Sold]]</f>
        <v>13824</v>
      </c>
    </row>
    <row r="461" spans="1:11" ht="15.6" x14ac:dyDescent="0.3">
      <c r="A461" s="5" cm="1">
        <f t="array" ref="A461">1000 + ROW(461:461)</f>
        <v>1461</v>
      </c>
      <c r="B461" s="6">
        <f t="shared" ca="1" si="35"/>
        <v>45312</v>
      </c>
      <c r="C461" s="5" t="str" cm="1">
        <f t="array" aca="1" ref="C461" ca="1">INDEX({"S001","S002","S003","S004","S005"}, RANDBETWEEN(1,5))</f>
        <v>S002</v>
      </c>
      <c r="D461" s="5" t="str" cm="1">
        <f t="array" aca="1" ref="D461" ca="1">INDEX({"Mumbai","Delhi","Bangalore","Ahmedabad","Chennai"}, RANDBETWEEN(1,5))</f>
        <v>Chennai</v>
      </c>
      <c r="E461" s="5" t="str" cm="1">
        <f t="array" aca="1" ref="E461" ca="1">INDEX({"Electronics","Groceries","Furniture","Clothing","Stationery"}, RANDBETWEEN(1,5))</f>
        <v>Clothing</v>
      </c>
      <c r="F461" s="5" t="str">
        <f t="shared" ca="1" si="36"/>
        <v>Smartphone</v>
      </c>
      <c r="G461" s="8">
        <f t="shared" ca="1" si="37"/>
        <v>2</v>
      </c>
      <c r="H461" s="10">
        <f t="shared" ca="1" si="38"/>
        <v>150</v>
      </c>
      <c r="I461" s="10">
        <f t="shared" ca="1" si="39"/>
        <v>300</v>
      </c>
      <c r="J461" s="10">
        <f ca="1">Table2[[#This Row],[Unit Price]] * RANDBETWEEN(70,90)/100</f>
        <v>132</v>
      </c>
      <c r="K461" s="12">
        <f ca="1">(Table2[[#This Row],[Unit Price]] - Table2[[#This Row],[Cost per Unit]]) * Table2[[#This Row],[Units Sold]]</f>
        <v>36</v>
      </c>
    </row>
    <row r="462" spans="1:11" ht="15.6" x14ac:dyDescent="0.3">
      <c r="A462" s="5" cm="1">
        <f t="array" ref="A462">1000 + ROW(462:462)</f>
        <v>1462</v>
      </c>
      <c r="B462" s="6">
        <f t="shared" ca="1" si="35"/>
        <v>45314</v>
      </c>
      <c r="C462" s="5" t="str" cm="1">
        <f t="array" aca="1" ref="C462" ca="1">INDEX({"S001","S002","S003","S004","S005"}, RANDBETWEEN(1,5))</f>
        <v>S001</v>
      </c>
      <c r="D462" s="5" t="str" cm="1">
        <f t="array" aca="1" ref="D462" ca="1">INDEX({"Mumbai","Delhi","Bangalore","Ahmedabad","Chennai"}, RANDBETWEEN(1,5))</f>
        <v>Ahmedabad</v>
      </c>
      <c r="E462" s="5" t="str" cm="1">
        <f t="array" aca="1" ref="E462" ca="1">INDEX({"Electronics","Groceries","Furniture","Clothing","Stationery"}, RANDBETWEEN(1,5))</f>
        <v>Furniture</v>
      </c>
      <c r="F462" s="5" t="str">
        <f t="shared" ca="1" si="36"/>
        <v>Cooking Oil 1L</v>
      </c>
      <c r="G462" s="8">
        <f t="shared" ca="1" si="37"/>
        <v>5</v>
      </c>
      <c r="H462" s="10">
        <f t="shared" ca="1" si="38"/>
        <v>1200</v>
      </c>
      <c r="I462" s="10">
        <f t="shared" ca="1" si="39"/>
        <v>6000</v>
      </c>
      <c r="J462" s="10">
        <f ca="1">Table2[[#This Row],[Unit Price]] * RANDBETWEEN(70,90)/100</f>
        <v>984</v>
      </c>
      <c r="K462" s="12">
        <f ca="1">(Table2[[#This Row],[Unit Price]] - Table2[[#This Row],[Cost per Unit]]) * Table2[[#This Row],[Units Sold]]</f>
        <v>1080</v>
      </c>
    </row>
    <row r="463" spans="1:11" ht="15.6" x14ac:dyDescent="0.3">
      <c r="A463" s="5" cm="1">
        <f t="array" ref="A463">1000 + ROW(463:463)</f>
        <v>1463</v>
      </c>
      <c r="B463" s="6">
        <f t="shared" ca="1" si="35"/>
        <v>45381</v>
      </c>
      <c r="C463" s="5" t="str" cm="1">
        <f t="array" aca="1" ref="C463" ca="1">INDEX({"S001","S002","S003","S004","S005"}, RANDBETWEEN(1,5))</f>
        <v>S004</v>
      </c>
      <c r="D463" s="5" t="str" cm="1">
        <f t="array" aca="1" ref="D463" ca="1">INDEX({"Mumbai","Delhi","Bangalore","Ahmedabad","Chennai"}, RANDBETWEEN(1,5))</f>
        <v>Delhi</v>
      </c>
      <c r="E463" s="5" t="str" cm="1">
        <f t="array" aca="1" ref="E463" ca="1">INDEX({"Electronics","Groceries","Furniture","Clothing","Stationery"}, RANDBETWEEN(1,5))</f>
        <v>Stationery</v>
      </c>
      <c r="F463" s="5" t="str">
        <f t="shared" ca="1" si="36"/>
        <v>Notebook</v>
      </c>
      <c r="G463" s="8">
        <f t="shared" ca="1" si="37"/>
        <v>47</v>
      </c>
      <c r="H463" s="10">
        <f t="shared" ca="1" si="38"/>
        <v>30000</v>
      </c>
      <c r="I463" s="10">
        <f t="shared" ca="1" si="39"/>
        <v>1410000</v>
      </c>
      <c r="J463" s="10">
        <f ca="1">Table2[[#This Row],[Unit Price]] * RANDBETWEEN(70,90)/100</f>
        <v>24000</v>
      </c>
      <c r="K463" s="12">
        <f ca="1">(Table2[[#This Row],[Unit Price]] - Table2[[#This Row],[Cost per Unit]]) * Table2[[#This Row],[Units Sold]]</f>
        <v>282000</v>
      </c>
    </row>
    <row r="464" spans="1:11" ht="15.6" x14ac:dyDescent="0.3">
      <c r="A464" s="5" cm="1">
        <f t="array" ref="A464">1000 + ROW(464:464)</f>
        <v>1464</v>
      </c>
      <c r="B464" s="6">
        <f t="shared" ca="1" si="35"/>
        <v>45362</v>
      </c>
      <c r="C464" s="5" t="str" cm="1">
        <f t="array" aca="1" ref="C464" ca="1">INDEX({"S001","S002","S003","S004","S005"}, RANDBETWEEN(1,5))</f>
        <v>S005</v>
      </c>
      <c r="D464" s="5" t="str" cm="1">
        <f t="array" aca="1" ref="D464" ca="1">INDEX({"Mumbai","Delhi","Bangalore","Ahmedabad","Chennai"}, RANDBETWEEN(1,5))</f>
        <v>Bangalore</v>
      </c>
      <c r="E464" s="5" t="str" cm="1">
        <f t="array" aca="1" ref="E464" ca="1">INDEX({"Electronics","Groceries","Furniture","Clothing","Stationery"}, RANDBETWEEN(1,5))</f>
        <v>Groceries</v>
      </c>
      <c r="F464" s="5" t="str">
        <f t="shared" ca="1" si="36"/>
        <v>Shampoo</v>
      </c>
      <c r="G464" s="8">
        <f t="shared" ca="1" si="37"/>
        <v>53</v>
      </c>
      <c r="H464" s="10">
        <f t="shared" ca="1" si="38"/>
        <v>250</v>
      </c>
      <c r="I464" s="10">
        <f t="shared" ca="1" si="39"/>
        <v>13250</v>
      </c>
      <c r="J464" s="10">
        <f ca="1">Table2[[#This Row],[Unit Price]] * RANDBETWEEN(70,90)/100</f>
        <v>225</v>
      </c>
      <c r="K464" s="12">
        <f ca="1">(Table2[[#This Row],[Unit Price]] - Table2[[#This Row],[Cost per Unit]]) * Table2[[#This Row],[Units Sold]]</f>
        <v>1325</v>
      </c>
    </row>
    <row r="465" spans="1:11" ht="15.6" x14ac:dyDescent="0.3">
      <c r="A465" s="5" cm="1">
        <f t="array" ref="A465">1000 + ROW(465:465)</f>
        <v>1465</v>
      </c>
      <c r="B465" s="6">
        <f t="shared" ca="1" si="35"/>
        <v>45352</v>
      </c>
      <c r="C465" s="5" t="str" cm="1">
        <f t="array" aca="1" ref="C465" ca="1">INDEX({"S001","S002","S003","S004","S005"}, RANDBETWEEN(1,5))</f>
        <v>S001</v>
      </c>
      <c r="D465" s="5" t="str" cm="1">
        <f t="array" aca="1" ref="D465" ca="1">INDEX({"Mumbai","Delhi","Bangalore","Ahmedabad","Chennai"}, RANDBETWEEN(1,5))</f>
        <v>Chennai</v>
      </c>
      <c r="E465" s="5" t="str" cm="1">
        <f t="array" aca="1" ref="E465" ca="1">INDEX({"Electronics","Groceries","Furniture","Clothing","Stationery"}, RANDBETWEEN(1,5))</f>
        <v>Furniture</v>
      </c>
      <c r="F465" s="5" t="str">
        <f t="shared" ca="1" si="36"/>
        <v>Office Chair</v>
      </c>
      <c r="G465" s="8">
        <f t="shared" ca="1" si="37"/>
        <v>50</v>
      </c>
      <c r="H465" s="10">
        <f t="shared" ca="1" si="38"/>
        <v>500</v>
      </c>
      <c r="I465" s="10">
        <f t="shared" ca="1" si="39"/>
        <v>25000</v>
      </c>
      <c r="J465" s="10">
        <f ca="1">Table2[[#This Row],[Unit Price]] * RANDBETWEEN(70,90)/100</f>
        <v>395</v>
      </c>
      <c r="K465" s="12">
        <f ca="1">(Table2[[#This Row],[Unit Price]] - Table2[[#This Row],[Cost per Unit]]) * Table2[[#This Row],[Units Sold]]</f>
        <v>5250</v>
      </c>
    </row>
    <row r="466" spans="1:11" ht="15.6" x14ac:dyDescent="0.3">
      <c r="A466" s="5" cm="1">
        <f t="array" ref="A466">1000 + ROW(466:466)</f>
        <v>1466</v>
      </c>
      <c r="B466" s="6">
        <f t="shared" ca="1" si="35"/>
        <v>45375</v>
      </c>
      <c r="C466" s="5" t="str" cm="1">
        <f t="array" aca="1" ref="C466" ca="1">INDEX({"S001","S002","S003","S004","S005"}, RANDBETWEEN(1,5))</f>
        <v>S002</v>
      </c>
      <c r="D466" s="5" t="str" cm="1">
        <f t="array" aca="1" ref="D466" ca="1">INDEX({"Mumbai","Delhi","Bangalore","Ahmedabad","Chennai"}, RANDBETWEEN(1,5))</f>
        <v>Delhi</v>
      </c>
      <c r="E466" s="5" t="str" cm="1">
        <f t="array" aca="1" ref="E466" ca="1">INDEX({"Electronics","Groceries","Furniture","Clothing","Stationery"}, RANDBETWEEN(1,5))</f>
        <v>Furniture</v>
      </c>
      <c r="F466" s="5" t="str">
        <f t="shared" ca="1" si="36"/>
        <v>Office Chair</v>
      </c>
      <c r="G466" s="8">
        <f t="shared" ca="1" si="37"/>
        <v>44</v>
      </c>
      <c r="H466" s="10">
        <f t="shared" ca="1" si="38"/>
        <v>250</v>
      </c>
      <c r="I466" s="10">
        <f t="shared" ca="1" si="39"/>
        <v>11000</v>
      </c>
      <c r="J466" s="10">
        <f ca="1">Table2[[#This Row],[Unit Price]] * RANDBETWEEN(70,90)/100</f>
        <v>200</v>
      </c>
      <c r="K466" s="12">
        <f ca="1">(Table2[[#This Row],[Unit Price]] - Table2[[#This Row],[Cost per Unit]]) * Table2[[#This Row],[Units Sold]]</f>
        <v>2200</v>
      </c>
    </row>
    <row r="467" spans="1:11" ht="15.6" x14ac:dyDescent="0.3">
      <c r="A467" s="5" cm="1">
        <f t="array" ref="A467">1000 + ROW(467:467)</f>
        <v>1467</v>
      </c>
      <c r="B467" s="6">
        <f t="shared" ca="1" si="35"/>
        <v>45292</v>
      </c>
      <c r="C467" s="5" t="str" cm="1">
        <f t="array" aca="1" ref="C467" ca="1">INDEX({"S001","S002","S003","S004","S005"}, RANDBETWEEN(1,5))</f>
        <v>S005</v>
      </c>
      <c r="D467" s="5" t="str" cm="1">
        <f t="array" aca="1" ref="D467" ca="1">INDEX({"Mumbai","Delhi","Bangalore","Ahmedabad","Chennai"}, RANDBETWEEN(1,5))</f>
        <v>Bangalore</v>
      </c>
      <c r="E467" s="5" t="str" cm="1">
        <f t="array" aca="1" ref="E467" ca="1">INDEX({"Electronics","Groceries","Furniture","Clothing","Stationery"}, RANDBETWEEN(1,5))</f>
        <v>Furniture</v>
      </c>
      <c r="F467" s="5" t="str">
        <f t="shared" ca="1" si="36"/>
        <v>T-shirt</v>
      </c>
      <c r="G467" s="8">
        <f t="shared" ca="1" si="37"/>
        <v>85</v>
      </c>
      <c r="H467" s="10">
        <f t="shared" ca="1" si="38"/>
        <v>700</v>
      </c>
      <c r="I467" s="10">
        <f t="shared" ca="1" si="39"/>
        <v>59500</v>
      </c>
      <c r="J467" s="10">
        <f ca="1">Table2[[#This Row],[Unit Price]] * RANDBETWEEN(70,90)/100</f>
        <v>532</v>
      </c>
      <c r="K467" s="12">
        <f ca="1">(Table2[[#This Row],[Unit Price]] - Table2[[#This Row],[Cost per Unit]]) * Table2[[#This Row],[Units Sold]]</f>
        <v>14280</v>
      </c>
    </row>
    <row r="468" spans="1:11" ht="15.6" x14ac:dyDescent="0.3">
      <c r="A468" s="5" cm="1">
        <f t="array" ref="A468">1000 + ROW(468:468)</f>
        <v>1468</v>
      </c>
      <c r="B468" s="6">
        <f t="shared" ca="1" si="35"/>
        <v>45341</v>
      </c>
      <c r="C468" s="5" t="str" cm="1">
        <f t="array" aca="1" ref="C468" ca="1">INDEX({"S001","S002","S003","S004","S005"}, RANDBETWEEN(1,5))</f>
        <v>S004</v>
      </c>
      <c r="D468" s="5" t="str" cm="1">
        <f t="array" aca="1" ref="D468" ca="1">INDEX({"Mumbai","Delhi","Bangalore","Ahmedabad","Chennai"}, RANDBETWEEN(1,5))</f>
        <v>Delhi</v>
      </c>
      <c r="E468" s="5" t="str" cm="1">
        <f t="array" aca="1" ref="E468" ca="1">INDEX({"Electronics","Groceries","Furniture","Clothing","Stationery"}, RANDBETWEEN(1,5))</f>
        <v>Electronics</v>
      </c>
      <c r="F468" s="5" t="str">
        <f t="shared" ca="1" si="36"/>
        <v>Notebook</v>
      </c>
      <c r="G468" s="8">
        <f t="shared" ca="1" si="37"/>
        <v>84</v>
      </c>
      <c r="H468" s="10">
        <f t="shared" ca="1" si="38"/>
        <v>900</v>
      </c>
      <c r="I468" s="10">
        <f t="shared" ca="1" si="39"/>
        <v>75600</v>
      </c>
      <c r="J468" s="10">
        <f ca="1">Table2[[#This Row],[Unit Price]] * RANDBETWEEN(70,90)/100</f>
        <v>630</v>
      </c>
      <c r="K468" s="12">
        <f ca="1">(Table2[[#This Row],[Unit Price]] - Table2[[#This Row],[Cost per Unit]]) * Table2[[#This Row],[Units Sold]]</f>
        <v>22680</v>
      </c>
    </row>
    <row r="469" spans="1:11" ht="15.6" x14ac:dyDescent="0.3">
      <c r="A469" s="5" cm="1">
        <f t="array" ref="A469">1000 + ROW(469:469)</f>
        <v>1469</v>
      </c>
      <c r="B469" s="6">
        <f t="shared" ca="1" si="35"/>
        <v>45303</v>
      </c>
      <c r="C469" s="5" t="str" cm="1">
        <f t="array" aca="1" ref="C469" ca="1">INDEX({"S001","S002","S003","S004","S005"}, RANDBETWEEN(1,5))</f>
        <v>S005</v>
      </c>
      <c r="D469" s="5" t="str" cm="1">
        <f t="array" aca="1" ref="D469" ca="1">INDEX({"Mumbai","Delhi","Bangalore","Ahmedabad","Chennai"}, RANDBETWEEN(1,5))</f>
        <v>Mumbai</v>
      </c>
      <c r="E469" s="5" t="str" cm="1">
        <f t="array" aca="1" ref="E469" ca="1">INDEX({"Electronics","Groceries","Furniture","Clothing","Stationery"}, RANDBETWEEN(1,5))</f>
        <v>Groceries</v>
      </c>
      <c r="F469" s="5" t="str">
        <f t="shared" ca="1" si="36"/>
        <v>Cooking Oil 1L</v>
      </c>
      <c r="G469" s="8">
        <f t="shared" ca="1" si="37"/>
        <v>48</v>
      </c>
      <c r="H469" s="10">
        <f t="shared" ca="1" si="38"/>
        <v>300</v>
      </c>
      <c r="I469" s="10">
        <f t="shared" ca="1" si="39"/>
        <v>14400</v>
      </c>
      <c r="J469" s="10">
        <f ca="1">Table2[[#This Row],[Unit Price]] * RANDBETWEEN(70,90)/100</f>
        <v>255</v>
      </c>
      <c r="K469" s="12">
        <f ca="1">(Table2[[#This Row],[Unit Price]] - Table2[[#This Row],[Cost per Unit]]) * Table2[[#This Row],[Units Sold]]</f>
        <v>2160</v>
      </c>
    </row>
    <row r="470" spans="1:11" ht="15.6" x14ac:dyDescent="0.3">
      <c r="A470" s="5" cm="1">
        <f t="array" ref="A470">1000 + ROW(470:470)</f>
        <v>1470</v>
      </c>
      <c r="B470" s="6">
        <f t="shared" ca="1" si="35"/>
        <v>45358</v>
      </c>
      <c r="C470" s="5" t="str" cm="1">
        <f t="array" aca="1" ref="C470" ca="1">INDEX({"S001","S002","S003","S004","S005"}, RANDBETWEEN(1,5))</f>
        <v>S001</v>
      </c>
      <c r="D470" s="5" t="str" cm="1">
        <f t="array" aca="1" ref="D470" ca="1">INDEX({"Mumbai","Delhi","Bangalore","Ahmedabad","Chennai"}, RANDBETWEEN(1,5))</f>
        <v>Bangalore</v>
      </c>
      <c r="E470" s="5" t="str" cm="1">
        <f t="array" aca="1" ref="E470" ca="1">INDEX({"Electronics","Groceries","Furniture","Clothing","Stationery"}, RANDBETWEEN(1,5))</f>
        <v>Groceries</v>
      </c>
      <c r="F470" s="5" t="str">
        <f t="shared" ca="1" si="36"/>
        <v>Smartphone</v>
      </c>
      <c r="G470" s="8">
        <f t="shared" ca="1" si="37"/>
        <v>43</v>
      </c>
      <c r="H470" s="10">
        <f t="shared" ca="1" si="38"/>
        <v>50</v>
      </c>
      <c r="I470" s="10">
        <f t="shared" ca="1" si="39"/>
        <v>2150</v>
      </c>
      <c r="J470" s="10">
        <f ca="1">Table2[[#This Row],[Unit Price]] * RANDBETWEEN(70,90)/100</f>
        <v>38</v>
      </c>
      <c r="K470" s="12">
        <f ca="1">(Table2[[#This Row],[Unit Price]] - Table2[[#This Row],[Cost per Unit]]) * Table2[[#This Row],[Units Sold]]</f>
        <v>516</v>
      </c>
    </row>
    <row r="471" spans="1:11" ht="15.6" x14ac:dyDescent="0.3">
      <c r="A471" s="5" cm="1">
        <f t="array" ref="A471">1000 + ROW(471:471)</f>
        <v>1471</v>
      </c>
      <c r="B471" s="6">
        <f t="shared" ca="1" si="35"/>
        <v>45329</v>
      </c>
      <c r="C471" s="5" t="str" cm="1">
        <f t="array" aca="1" ref="C471" ca="1">INDEX({"S001","S002","S003","S004","S005"}, RANDBETWEEN(1,5))</f>
        <v>S005</v>
      </c>
      <c r="D471" s="5" t="str" cm="1">
        <f t="array" aca="1" ref="D471" ca="1">INDEX({"Mumbai","Delhi","Bangalore","Ahmedabad","Chennai"}, RANDBETWEEN(1,5))</f>
        <v>Mumbai</v>
      </c>
      <c r="E471" s="5" t="str" cm="1">
        <f t="array" aca="1" ref="E471" ca="1">INDEX({"Electronics","Groceries","Furniture","Clothing","Stationery"}, RANDBETWEEN(1,5))</f>
        <v>Clothing</v>
      </c>
      <c r="F471" s="5" t="str">
        <f t="shared" ca="1" si="36"/>
        <v>Office Chair</v>
      </c>
      <c r="G471" s="8">
        <f t="shared" ca="1" si="37"/>
        <v>70</v>
      </c>
      <c r="H471" s="10">
        <f t="shared" ca="1" si="38"/>
        <v>500</v>
      </c>
      <c r="I471" s="10">
        <f t="shared" ca="1" si="39"/>
        <v>35000</v>
      </c>
      <c r="J471" s="10">
        <f ca="1">Table2[[#This Row],[Unit Price]] * RANDBETWEEN(70,90)/100</f>
        <v>375</v>
      </c>
      <c r="K471" s="12">
        <f ca="1">(Table2[[#This Row],[Unit Price]] - Table2[[#This Row],[Cost per Unit]]) * Table2[[#This Row],[Units Sold]]</f>
        <v>8750</v>
      </c>
    </row>
    <row r="472" spans="1:11" ht="15.6" x14ac:dyDescent="0.3">
      <c r="A472" s="5" cm="1">
        <f t="array" ref="A472">1000 + ROW(472:472)</f>
        <v>1472</v>
      </c>
      <c r="B472" s="6">
        <f t="shared" ca="1" si="35"/>
        <v>45367</v>
      </c>
      <c r="C472" s="5" t="str" cm="1">
        <f t="array" aca="1" ref="C472" ca="1">INDEX({"S001","S002","S003","S004","S005"}, RANDBETWEEN(1,5))</f>
        <v>S005</v>
      </c>
      <c r="D472" s="5" t="str" cm="1">
        <f t="array" aca="1" ref="D472" ca="1">INDEX({"Mumbai","Delhi","Bangalore","Ahmedabad","Chennai"}, RANDBETWEEN(1,5))</f>
        <v>Mumbai</v>
      </c>
      <c r="E472" s="5" t="str" cm="1">
        <f t="array" aca="1" ref="E472" ca="1">INDEX({"Electronics","Groceries","Furniture","Clothing","Stationery"}, RANDBETWEEN(1,5))</f>
        <v>Electronics</v>
      </c>
      <c r="F472" s="5" t="str">
        <f t="shared" ca="1" si="36"/>
        <v>Shampoo</v>
      </c>
      <c r="G472" s="8">
        <f t="shared" ca="1" si="37"/>
        <v>47</v>
      </c>
      <c r="H472" s="10">
        <f t="shared" ca="1" si="38"/>
        <v>1200</v>
      </c>
      <c r="I472" s="10">
        <f t="shared" ca="1" si="39"/>
        <v>56400</v>
      </c>
      <c r="J472" s="10">
        <f ca="1">Table2[[#This Row],[Unit Price]] * RANDBETWEEN(70,90)/100</f>
        <v>924</v>
      </c>
      <c r="K472" s="12">
        <f ca="1">(Table2[[#This Row],[Unit Price]] - Table2[[#This Row],[Cost per Unit]]) * Table2[[#This Row],[Units Sold]]</f>
        <v>12972</v>
      </c>
    </row>
    <row r="473" spans="1:11" ht="15.6" x14ac:dyDescent="0.3">
      <c r="A473" s="5" cm="1">
        <f t="array" ref="A473">1000 + ROW(473:473)</f>
        <v>1473</v>
      </c>
      <c r="B473" s="6">
        <f t="shared" ca="1" si="35"/>
        <v>45302</v>
      </c>
      <c r="C473" s="5" t="str" cm="1">
        <f t="array" aca="1" ref="C473" ca="1">INDEX({"S001","S002","S003","S004","S005"}, RANDBETWEEN(1,5))</f>
        <v>S003</v>
      </c>
      <c r="D473" s="5" t="str" cm="1">
        <f t="array" aca="1" ref="D473" ca="1">INDEX({"Mumbai","Delhi","Bangalore","Ahmedabad","Chennai"}, RANDBETWEEN(1,5))</f>
        <v>Delhi</v>
      </c>
      <c r="E473" s="5" t="str" cm="1">
        <f t="array" aca="1" ref="E473" ca="1">INDEX({"Electronics","Groceries","Furniture","Clothing","Stationery"}, RANDBETWEEN(1,5))</f>
        <v>Electronics</v>
      </c>
      <c r="F473" s="5" t="str">
        <f t="shared" ca="1" si="36"/>
        <v>Cooking Oil 1L</v>
      </c>
      <c r="G473" s="8">
        <f t="shared" ca="1" si="37"/>
        <v>41</v>
      </c>
      <c r="H473" s="10">
        <f t="shared" ca="1" si="38"/>
        <v>500</v>
      </c>
      <c r="I473" s="10">
        <f t="shared" ca="1" si="39"/>
        <v>20500</v>
      </c>
      <c r="J473" s="10">
        <f ca="1">Table2[[#This Row],[Unit Price]] * RANDBETWEEN(70,90)/100</f>
        <v>410</v>
      </c>
      <c r="K473" s="12">
        <f ca="1">(Table2[[#This Row],[Unit Price]] - Table2[[#This Row],[Cost per Unit]]) * Table2[[#This Row],[Units Sold]]</f>
        <v>3690</v>
      </c>
    </row>
    <row r="474" spans="1:11" ht="15.6" x14ac:dyDescent="0.3">
      <c r="A474" s="5" cm="1">
        <f t="array" ref="A474">1000 + ROW(474:474)</f>
        <v>1474</v>
      </c>
      <c r="B474" s="6">
        <f t="shared" ca="1" si="35"/>
        <v>45362</v>
      </c>
      <c r="C474" s="5" t="str" cm="1">
        <f t="array" aca="1" ref="C474" ca="1">INDEX({"S001","S002","S003","S004","S005"}, RANDBETWEEN(1,5))</f>
        <v>S002</v>
      </c>
      <c r="D474" s="5" t="str" cm="1">
        <f t="array" aca="1" ref="D474" ca="1">INDEX({"Mumbai","Delhi","Bangalore","Ahmedabad","Chennai"}, RANDBETWEEN(1,5))</f>
        <v>Mumbai</v>
      </c>
      <c r="E474" s="5" t="str" cm="1">
        <f t="array" aca="1" ref="E474" ca="1">INDEX({"Electronics","Groceries","Furniture","Clothing","Stationery"}, RANDBETWEEN(1,5))</f>
        <v>Clothing</v>
      </c>
      <c r="F474" s="5" t="str">
        <f t="shared" ca="1" si="36"/>
        <v>T-shirt</v>
      </c>
      <c r="G474" s="8">
        <f t="shared" ca="1" si="37"/>
        <v>59</v>
      </c>
      <c r="H474" s="10">
        <f t="shared" ca="1" si="38"/>
        <v>15000</v>
      </c>
      <c r="I474" s="10">
        <f t="shared" ca="1" si="39"/>
        <v>885000</v>
      </c>
      <c r="J474" s="10">
        <f ca="1">Table2[[#This Row],[Unit Price]] * RANDBETWEEN(70,90)/100</f>
        <v>12750</v>
      </c>
      <c r="K474" s="12">
        <f ca="1">(Table2[[#This Row],[Unit Price]] - Table2[[#This Row],[Cost per Unit]]) * Table2[[#This Row],[Units Sold]]</f>
        <v>132750</v>
      </c>
    </row>
    <row r="475" spans="1:11" ht="15.6" x14ac:dyDescent="0.3">
      <c r="A475" s="5" cm="1">
        <f t="array" ref="A475">1000 + ROW(475:475)</f>
        <v>1475</v>
      </c>
      <c r="B475" s="6">
        <f t="shared" ca="1" si="35"/>
        <v>45380</v>
      </c>
      <c r="C475" s="5" t="str" cm="1">
        <f t="array" aca="1" ref="C475" ca="1">INDEX({"S001","S002","S003","S004","S005"}, RANDBETWEEN(1,5))</f>
        <v>S003</v>
      </c>
      <c r="D475" s="5" t="str" cm="1">
        <f t="array" aca="1" ref="D475" ca="1">INDEX({"Mumbai","Delhi","Bangalore","Ahmedabad","Chennai"}, RANDBETWEEN(1,5))</f>
        <v>Ahmedabad</v>
      </c>
      <c r="E475" s="5" t="str" cm="1">
        <f t="array" aca="1" ref="E475" ca="1">INDEX({"Electronics","Groceries","Furniture","Clothing","Stationery"}, RANDBETWEEN(1,5))</f>
        <v>Stationery</v>
      </c>
      <c r="F475" s="5" t="str">
        <f t="shared" ca="1" si="36"/>
        <v>Rice 5kg</v>
      </c>
      <c r="G475" s="8">
        <f t="shared" ca="1" si="37"/>
        <v>85</v>
      </c>
      <c r="H475" s="10">
        <f t="shared" ca="1" si="38"/>
        <v>300</v>
      </c>
      <c r="I475" s="10">
        <f t="shared" ca="1" si="39"/>
        <v>25500</v>
      </c>
      <c r="J475" s="10">
        <f ca="1">Table2[[#This Row],[Unit Price]] * RANDBETWEEN(70,90)/100</f>
        <v>213</v>
      </c>
      <c r="K475" s="12">
        <f ca="1">(Table2[[#This Row],[Unit Price]] - Table2[[#This Row],[Cost per Unit]]) * Table2[[#This Row],[Units Sold]]</f>
        <v>7395</v>
      </c>
    </row>
    <row r="476" spans="1:11" ht="15.6" x14ac:dyDescent="0.3">
      <c r="A476" s="5" cm="1">
        <f t="array" ref="A476">1000 + ROW(476:476)</f>
        <v>1476</v>
      </c>
      <c r="B476" s="6">
        <f t="shared" ca="1" si="35"/>
        <v>45366</v>
      </c>
      <c r="C476" s="5" t="str" cm="1">
        <f t="array" aca="1" ref="C476" ca="1">INDEX({"S001","S002","S003","S004","S005"}, RANDBETWEEN(1,5))</f>
        <v>S004</v>
      </c>
      <c r="D476" s="5" t="str" cm="1">
        <f t="array" aca="1" ref="D476" ca="1">INDEX({"Mumbai","Delhi","Bangalore","Ahmedabad","Chennai"}, RANDBETWEEN(1,5))</f>
        <v>Mumbai</v>
      </c>
      <c r="E476" s="5" t="str" cm="1">
        <f t="array" aca="1" ref="E476" ca="1">INDEX({"Electronics","Groceries","Furniture","Clothing","Stationery"}, RANDBETWEEN(1,5))</f>
        <v>Stationery</v>
      </c>
      <c r="F476" s="5" t="str">
        <f t="shared" ca="1" si="36"/>
        <v>Shampoo</v>
      </c>
      <c r="G476" s="8">
        <f t="shared" ca="1" si="37"/>
        <v>91</v>
      </c>
      <c r="H476" s="10">
        <f t="shared" ca="1" si="38"/>
        <v>300</v>
      </c>
      <c r="I476" s="10">
        <f t="shared" ca="1" si="39"/>
        <v>27300</v>
      </c>
      <c r="J476" s="10">
        <f ca="1">Table2[[#This Row],[Unit Price]] * RANDBETWEEN(70,90)/100</f>
        <v>213</v>
      </c>
      <c r="K476" s="12">
        <f ca="1">(Table2[[#This Row],[Unit Price]] - Table2[[#This Row],[Cost per Unit]]) * Table2[[#This Row],[Units Sold]]</f>
        <v>7917</v>
      </c>
    </row>
    <row r="477" spans="1:11" ht="15.6" x14ac:dyDescent="0.3">
      <c r="A477" s="5" cm="1">
        <f t="array" ref="A477">1000 + ROW(477:477)</f>
        <v>1477</v>
      </c>
      <c r="B477" s="6">
        <f t="shared" ca="1" si="35"/>
        <v>45311</v>
      </c>
      <c r="C477" s="5" t="str" cm="1">
        <f t="array" aca="1" ref="C477" ca="1">INDEX({"S001","S002","S003","S004","S005"}, RANDBETWEEN(1,5))</f>
        <v>S001</v>
      </c>
      <c r="D477" s="5" t="str" cm="1">
        <f t="array" aca="1" ref="D477" ca="1">INDEX({"Mumbai","Delhi","Bangalore","Ahmedabad","Chennai"}, RANDBETWEEN(1,5))</f>
        <v>Bangalore</v>
      </c>
      <c r="E477" s="5" t="str" cm="1">
        <f t="array" aca="1" ref="E477" ca="1">INDEX({"Electronics","Groceries","Furniture","Clothing","Stationery"}, RANDBETWEEN(1,5))</f>
        <v>Furniture</v>
      </c>
      <c r="F477" s="5" t="str">
        <f t="shared" ca="1" si="36"/>
        <v>Desk Lamp</v>
      </c>
      <c r="G477" s="8">
        <f t="shared" ca="1" si="37"/>
        <v>78</v>
      </c>
      <c r="H477" s="10">
        <f t="shared" ca="1" si="38"/>
        <v>150</v>
      </c>
      <c r="I477" s="10">
        <f t="shared" ca="1" si="39"/>
        <v>11700</v>
      </c>
      <c r="J477" s="10">
        <f ca="1">Table2[[#This Row],[Unit Price]] * RANDBETWEEN(70,90)/100</f>
        <v>117</v>
      </c>
      <c r="K477" s="12">
        <f ca="1">(Table2[[#This Row],[Unit Price]] - Table2[[#This Row],[Cost per Unit]]) * Table2[[#This Row],[Units Sold]]</f>
        <v>2574</v>
      </c>
    </row>
    <row r="478" spans="1:11" ht="15.6" x14ac:dyDescent="0.3">
      <c r="A478" s="5" cm="1">
        <f t="array" ref="A478">1000 + ROW(478:478)</f>
        <v>1478</v>
      </c>
      <c r="B478" s="6">
        <f t="shared" ca="1" si="35"/>
        <v>45333</v>
      </c>
      <c r="C478" s="5" t="str" cm="1">
        <f t="array" aca="1" ref="C478" ca="1">INDEX({"S001","S002","S003","S004","S005"}, RANDBETWEEN(1,5))</f>
        <v>S005</v>
      </c>
      <c r="D478" s="5" t="str" cm="1">
        <f t="array" aca="1" ref="D478" ca="1">INDEX({"Mumbai","Delhi","Bangalore","Ahmedabad","Chennai"}, RANDBETWEEN(1,5))</f>
        <v>Bangalore</v>
      </c>
      <c r="E478" s="5" t="str" cm="1">
        <f t="array" aca="1" ref="E478" ca="1">INDEX({"Electronics","Groceries","Furniture","Clothing","Stationery"}, RANDBETWEEN(1,5))</f>
        <v>Stationery</v>
      </c>
      <c r="F478" s="5" t="str">
        <f t="shared" ca="1" si="36"/>
        <v>Table</v>
      </c>
      <c r="G478" s="8">
        <f t="shared" ca="1" si="37"/>
        <v>62</v>
      </c>
      <c r="H478" s="10">
        <f t="shared" ca="1" si="38"/>
        <v>250</v>
      </c>
      <c r="I478" s="10">
        <f t="shared" ca="1" si="39"/>
        <v>15500</v>
      </c>
      <c r="J478" s="10">
        <f ca="1">Table2[[#This Row],[Unit Price]] * RANDBETWEEN(70,90)/100</f>
        <v>177.5</v>
      </c>
      <c r="K478" s="12">
        <f ca="1">(Table2[[#This Row],[Unit Price]] - Table2[[#This Row],[Cost per Unit]]) * Table2[[#This Row],[Units Sold]]</f>
        <v>4495</v>
      </c>
    </row>
    <row r="479" spans="1:11" ht="15.6" x14ac:dyDescent="0.3">
      <c r="A479" s="5" cm="1">
        <f t="array" ref="A479">1000 + ROW(479:479)</f>
        <v>1479</v>
      </c>
      <c r="B479" s="6">
        <f t="shared" ca="1" si="35"/>
        <v>45299</v>
      </c>
      <c r="C479" s="5" t="str" cm="1">
        <f t="array" aca="1" ref="C479" ca="1">INDEX({"S001","S002","S003","S004","S005"}, RANDBETWEEN(1,5))</f>
        <v>S002</v>
      </c>
      <c r="D479" s="5" t="str" cm="1">
        <f t="array" aca="1" ref="D479" ca="1">INDEX({"Mumbai","Delhi","Bangalore","Ahmedabad","Chennai"}, RANDBETWEEN(1,5))</f>
        <v>Delhi</v>
      </c>
      <c r="E479" s="5" t="str" cm="1">
        <f t="array" aca="1" ref="E479" ca="1">INDEX({"Electronics","Groceries","Furniture","Clothing","Stationery"}, RANDBETWEEN(1,5))</f>
        <v>Clothing</v>
      </c>
      <c r="F479" s="5" t="str">
        <f t="shared" ca="1" si="36"/>
        <v>Laptop</v>
      </c>
      <c r="G479" s="8">
        <f t="shared" ca="1" si="37"/>
        <v>24</v>
      </c>
      <c r="H479" s="10">
        <f t="shared" ca="1" si="38"/>
        <v>250</v>
      </c>
      <c r="I479" s="10">
        <f t="shared" ca="1" si="39"/>
        <v>6000</v>
      </c>
      <c r="J479" s="10">
        <f ca="1">Table2[[#This Row],[Unit Price]] * RANDBETWEEN(70,90)/100</f>
        <v>190</v>
      </c>
      <c r="K479" s="12">
        <f ca="1">(Table2[[#This Row],[Unit Price]] - Table2[[#This Row],[Cost per Unit]]) * Table2[[#This Row],[Units Sold]]</f>
        <v>1440</v>
      </c>
    </row>
    <row r="480" spans="1:11" ht="15.6" x14ac:dyDescent="0.3">
      <c r="A480" s="5" cm="1">
        <f t="array" ref="A480">1000 + ROW(479:479)</f>
        <v>1479</v>
      </c>
      <c r="B480" s="6">
        <f t="shared" ca="1" si="35"/>
        <v>45379</v>
      </c>
      <c r="C480" s="5" t="str" cm="1">
        <f t="array" aca="1" ref="C480" ca="1">INDEX({"S001","S002","S003","S004","S005"}, RANDBETWEEN(1,5))</f>
        <v>S004</v>
      </c>
      <c r="D480" s="5" t="str" cm="1">
        <f t="array" aca="1" ref="D480" ca="1">INDEX({"Mumbai","Delhi","Bangalore","Ahmedabad","Chennai"}, RANDBETWEEN(1,5))</f>
        <v>Chennai</v>
      </c>
      <c r="E480" s="5" t="str" cm="1">
        <f t="array" aca="1" ref="E480" ca="1">INDEX({"Electronics","Groceries","Furniture","Clothing","Stationery"}, RANDBETWEEN(1,5))</f>
        <v>Groceries</v>
      </c>
      <c r="F480" s="5" t="str">
        <f t="shared" ca="1" si="36"/>
        <v>Rice 5kg</v>
      </c>
      <c r="G480" s="8">
        <f t="shared" ca="1" si="37"/>
        <v>67</v>
      </c>
      <c r="H480" s="10">
        <f t="shared" ca="1" si="38"/>
        <v>300</v>
      </c>
      <c r="I480" s="10">
        <f t="shared" ca="1" si="39"/>
        <v>20100</v>
      </c>
      <c r="J480" s="10">
        <f ca="1">Table2[[#This Row],[Unit Price]] * RANDBETWEEN(70,90)/100</f>
        <v>270</v>
      </c>
      <c r="K480" s="12">
        <f ca="1">(Table2[[#This Row],[Unit Price]] - Table2[[#This Row],[Cost per Unit]]) * Table2[[#This Row],[Units Sold]]</f>
        <v>2010</v>
      </c>
    </row>
    <row r="481" spans="1:11" ht="15.6" x14ac:dyDescent="0.3">
      <c r="A481" s="5" cm="1">
        <f t="array" ref="A481">1000 + ROW(481:481)</f>
        <v>1481</v>
      </c>
      <c r="B481" s="6">
        <f t="shared" ca="1" si="35"/>
        <v>45352</v>
      </c>
      <c r="C481" s="5" t="str" cm="1">
        <f t="array" aca="1" ref="C481" ca="1">INDEX({"S001","S002","S003","S004","S005"}, RANDBETWEEN(1,5))</f>
        <v>S005</v>
      </c>
      <c r="D481" s="5" t="str" cm="1">
        <f t="array" aca="1" ref="D481" ca="1">INDEX({"Mumbai","Delhi","Bangalore","Ahmedabad","Chennai"}, RANDBETWEEN(1,5))</f>
        <v>Ahmedabad</v>
      </c>
      <c r="E481" s="5" t="str" cm="1">
        <f t="array" aca="1" ref="E481" ca="1">INDEX({"Electronics","Groceries","Furniture","Clothing","Stationery"}, RANDBETWEEN(1,5))</f>
        <v>Stationery</v>
      </c>
      <c r="F481" s="5" t="str">
        <f t="shared" ca="1" si="36"/>
        <v>Table</v>
      </c>
      <c r="G481" s="8">
        <f t="shared" ca="1" si="37"/>
        <v>7</v>
      </c>
      <c r="H481" s="10">
        <f t="shared" ca="1" si="38"/>
        <v>50</v>
      </c>
      <c r="I481" s="10">
        <f t="shared" ca="1" si="39"/>
        <v>350</v>
      </c>
      <c r="J481" s="10">
        <f ca="1">Table2[[#This Row],[Unit Price]] * RANDBETWEEN(70,90)/100</f>
        <v>42.5</v>
      </c>
      <c r="K481" s="12">
        <f ca="1">(Table2[[#This Row],[Unit Price]] - Table2[[#This Row],[Cost per Unit]]) * Table2[[#This Row],[Units Sold]]</f>
        <v>52.5</v>
      </c>
    </row>
    <row r="482" spans="1:11" ht="15.6" x14ac:dyDescent="0.3">
      <c r="A482" s="5" cm="1">
        <f t="array" ref="A482">1000 + ROW(482:482)</f>
        <v>1482</v>
      </c>
      <c r="B482" s="6">
        <f t="shared" ca="1" si="35"/>
        <v>45356</v>
      </c>
      <c r="C482" s="5" t="str" cm="1">
        <f t="array" aca="1" ref="C482" ca="1">INDEX({"S001","S002","S003","S004","S005"}, RANDBETWEEN(1,5))</f>
        <v>S004</v>
      </c>
      <c r="D482" s="5" t="str" cm="1">
        <f t="array" aca="1" ref="D482" ca="1">INDEX({"Mumbai","Delhi","Bangalore","Ahmedabad","Chennai"}, RANDBETWEEN(1,5))</f>
        <v>Delhi</v>
      </c>
      <c r="E482" s="5" t="str" cm="1">
        <f t="array" aca="1" ref="E482" ca="1">INDEX({"Electronics","Groceries","Furniture","Clothing","Stationery"}, RANDBETWEEN(1,5))</f>
        <v>Electronics</v>
      </c>
      <c r="F482" s="5" t="str">
        <f t="shared" ca="1" si="36"/>
        <v>Notebook</v>
      </c>
      <c r="G482" s="8">
        <f t="shared" ca="1" si="37"/>
        <v>59</v>
      </c>
      <c r="H482" s="10">
        <f t="shared" ca="1" si="38"/>
        <v>1200</v>
      </c>
      <c r="I482" s="10">
        <f t="shared" ca="1" si="39"/>
        <v>70800</v>
      </c>
      <c r="J482" s="10">
        <f ca="1">Table2[[#This Row],[Unit Price]] * RANDBETWEEN(70,90)/100</f>
        <v>948</v>
      </c>
      <c r="K482" s="12">
        <f ca="1">(Table2[[#This Row],[Unit Price]] - Table2[[#This Row],[Cost per Unit]]) * Table2[[#This Row],[Units Sold]]</f>
        <v>14868</v>
      </c>
    </row>
    <row r="483" spans="1:11" ht="15.6" x14ac:dyDescent="0.3">
      <c r="A483" s="5" cm="1">
        <f t="array" ref="A483">1000 + ROW(483:483)</f>
        <v>1483</v>
      </c>
      <c r="B483" s="6">
        <f t="shared" ca="1" si="35"/>
        <v>45315</v>
      </c>
      <c r="C483" s="5" t="str" cm="1">
        <f t="array" aca="1" ref="C483" ca="1">INDEX({"S001","S002","S003","S004","S005"}, RANDBETWEEN(1,5))</f>
        <v>S005</v>
      </c>
      <c r="D483" s="5" t="str" cm="1">
        <f t="array" aca="1" ref="D483" ca="1">INDEX({"Mumbai","Delhi","Bangalore","Ahmedabad","Chennai"}, RANDBETWEEN(1,5))</f>
        <v>Ahmedabad</v>
      </c>
      <c r="E483" s="5" t="str" cm="1">
        <f t="array" aca="1" ref="E483" ca="1">INDEX({"Electronics","Groceries","Furniture","Clothing","Stationery"}, RANDBETWEEN(1,5))</f>
        <v>Stationery</v>
      </c>
      <c r="F483" s="5" t="str">
        <f t="shared" ca="1" si="36"/>
        <v>Notebook</v>
      </c>
      <c r="G483" s="8">
        <f t="shared" ca="1" si="37"/>
        <v>67</v>
      </c>
      <c r="H483" s="10">
        <f t="shared" ca="1" si="38"/>
        <v>150</v>
      </c>
      <c r="I483" s="10">
        <f t="shared" ca="1" si="39"/>
        <v>10050</v>
      </c>
      <c r="J483" s="10">
        <f ca="1">Table2[[#This Row],[Unit Price]] * RANDBETWEEN(70,90)/100</f>
        <v>115.5</v>
      </c>
      <c r="K483" s="12">
        <f ca="1">(Table2[[#This Row],[Unit Price]] - Table2[[#This Row],[Cost per Unit]]) * Table2[[#This Row],[Units Sold]]</f>
        <v>2311.5</v>
      </c>
    </row>
    <row r="484" spans="1:11" ht="15.6" x14ac:dyDescent="0.3">
      <c r="A484" s="5" cm="1">
        <f t="array" ref="A484">1000 + ROW(484:484)</f>
        <v>1484</v>
      </c>
      <c r="B484" s="6">
        <f t="shared" ca="1" si="35"/>
        <v>45359</v>
      </c>
      <c r="C484" s="5" t="str" cm="1">
        <f t="array" aca="1" ref="C484" ca="1">INDEX({"S001","S002","S003","S004","S005"}, RANDBETWEEN(1,5))</f>
        <v>S003</v>
      </c>
      <c r="D484" s="5" t="str" cm="1">
        <f t="array" aca="1" ref="D484" ca="1">INDEX({"Mumbai","Delhi","Bangalore","Ahmedabad","Chennai"}, RANDBETWEEN(1,5))</f>
        <v>Mumbai</v>
      </c>
      <c r="E484" s="5" t="str" cm="1">
        <f t="array" aca="1" ref="E484" ca="1">INDEX({"Electronics","Groceries","Furniture","Clothing","Stationery"}, RANDBETWEEN(1,5))</f>
        <v>Electronics</v>
      </c>
      <c r="F484" s="5" t="str">
        <f t="shared" ca="1" si="36"/>
        <v>T-shirt</v>
      </c>
      <c r="G484" s="8">
        <f t="shared" ca="1" si="37"/>
        <v>66</v>
      </c>
      <c r="H484" s="10">
        <f t="shared" ca="1" si="38"/>
        <v>300</v>
      </c>
      <c r="I484" s="10">
        <f t="shared" ca="1" si="39"/>
        <v>19800</v>
      </c>
      <c r="J484" s="10">
        <f ca="1">Table2[[#This Row],[Unit Price]] * RANDBETWEEN(70,90)/100</f>
        <v>267</v>
      </c>
      <c r="K484" s="12">
        <f ca="1">(Table2[[#This Row],[Unit Price]] - Table2[[#This Row],[Cost per Unit]]) * Table2[[#This Row],[Units Sold]]</f>
        <v>2178</v>
      </c>
    </row>
    <row r="485" spans="1:11" ht="15.6" x14ac:dyDescent="0.3">
      <c r="A485" s="5" cm="1">
        <f t="array" ref="A485">1000 + ROW(485:485)</f>
        <v>1485</v>
      </c>
      <c r="B485" s="6">
        <f t="shared" ca="1" si="35"/>
        <v>45292</v>
      </c>
      <c r="C485" s="5" t="str" cm="1">
        <f t="array" aca="1" ref="C485" ca="1">INDEX({"S001","S002","S003","S004","S005"}, RANDBETWEEN(1,5))</f>
        <v>S001</v>
      </c>
      <c r="D485" s="5" t="str" cm="1">
        <f t="array" aca="1" ref="D485" ca="1">INDEX({"Mumbai","Delhi","Bangalore","Ahmedabad","Chennai"}, RANDBETWEEN(1,5))</f>
        <v>Mumbai</v>
      </c>
      <c r="E485" s="5" t="str" cm="1">
        <f t="array" aca="1" ref="E485" ca="1">INDEX({"Electronics","Groceries","Furniture","Clothing","Stationery"}, RANDBETWEEN(1,5))</f>
        <v>Clothing</v>
      </c>
      <c r="F485" s="5" t="str">
        <f t="shared" ca="1" si="36"/>
        <v>Rice 5kg</v>
      </c>
      <c r="G485" s="8">
        <f t="shared" ca="1" si="37"/>
        <v>52</v>
      </c>
      <c r="H485" s="10">
        <f t="shared" ca="1" si="38"/>
        <v>250</v>
      </c>
      <c r="I485" s="10">
        <f t="shared" ca="1" si="39"/>
        <v>13000</v>
      </c>
      <c r="J485" s="10">
        <f ca="1">Table2[[#This Row],[Unit Price]] * RANDBETWEEN(70,90)/100</f>
        <v>180</v>
      </c>
      <c r="K485" s="12">
        <f ca="1">(Table2[[#This Row],[Unit Price]] - Table2[[#This Row],[Cost per Unit]]) * Table2[[#This Row],[Units Sold]]</f>
        <v>3640</v>
      </c>
    </row>
    <row r="486" spans="1:11" ht="15.6" x14ac:dyDescent="0.3">
      <c r="A486" s="5" cm="1">
        <f t="array" ref="A486">1000 + ROW(486:486)</f>
        <v>1486</v>
      </c>
      <c r="B486" s="6">
        <f t="shared" ca="1" si="35"/>
        <v>45293</v>
      </c>
      <c r="C486" s="5" t="str" cm="1">
        <f t="array" aca="1" ref="C486" ca="1">INDEX({"S001","S002","S003","S004","S005"}, RANDBETWEEN(1,5))</f>
        <v>S005</v>
      </c>
      <c r="D486" s="5" t="str" cm="1">
        <f t="array" aca="1" ref="D486" ca="1">INDEX({"Mumbai","Delhi","Bangalore","Ahmedabad","Chennai"}, RANDBETWEEN(1,5))</f>
        <v>Chennai</v>
      </c>
      <c r="E486" s="5" t="str" cm="1">
        <f t="array" aca="1" ref="E486" ca="1">INDEX({"Electronics","Groceries","Furniture","Clothing","Stationery"}, RANDBETWEEN(1,5))</f>
        <v>Stationery</v>
      </c>
      <c r="F486" s="5" t="str">
        <f t="shared" ca="1" si="36"/>
        <v>Office Chair</v>
      </c>
      <c r="G486" s="8">
        <f t="shared" ca="1" si="37"/>
        <v>86</v>
      </c>
      <c r="H486" s="10">
        <f t="shared" ca="1" si="38"/>
        <v>30000</v>
      </c>
      <c r="I486" s="10">
        <f t="shared" ca="1" si="39"/>
        <v>2580000</v>
      </c>
      <c r="J486" s="10">
        <f ca="1">Table2[[#This Row],[Unit Price]] * RANDBETWEEN(70,90)/100</f>
        <v>24900</v>
      </c>
      <c r="K486" s="12">
        <f ca="1">(Table2[[#This Row],[Unit Price]] - Table2[[#This Row],[Cost per Unit]]) * Table2[[#This Row],[Units Sold]]</f>
        <v>438600</v>
      </c>
    </row>
    <row r="487" spans="1:11" ht="15.6" x14ac:dyDescent="0.3">
      <c r="A487" s="5" cm="1">
        <f t="array" ref="A487">1000 + ROW(487:487)</f>
        <v>1487</v>
      </c>
      <c r="B487" s="6">
        <f t="shared" ca="1" si="35"/>
        <v>45322</v>
      </c>
      <c r="C487" s="5" t="str" cm="1">
        <f t="array" aca="1" ref="C487" ca="1">INDEX({"S001","S002","S003","S004","S005"}, RANDBETWEEN(1,5))</f>
        <v>S003</v>
      </c>
      <c r="D487" s="5" t="str" cm="1">
        <f t="array" aca="1" ref="D487" ca="1">INDEX({"Mumbai","Delhi","Bangalore","Ahmedabad","Chennai"}, RANDBETWEEN(1,5))</f>
        <v>Delhi</v>
      </c>
      <c r="E487" s="5" t="str" cm="1">
        <f t="array" aca="1" ref="E487" ca="1">INDEX({"Electronics","Groceries","Furniture","Clothing","Stationery"}, RANDBETWEEN(1,5))</f>
        <v>Clothing</v>
      </c>
      <c r="F487" s="5" t="str">
        <f t="shared" ca="1" si="36"/>
        <v>Table</v>
      </c>
      <c r="G487" s="8">
        <f t="shared" ca="1" si="37"/>
        <v>43</v>
      </c>
      <c r="H487" s="10">
        <f t="shared" ca="1" si="38"/>
        <v>150</v>
      </c>
      <c r="I487" s="10">
        <f t="shared" ca="1" si="39"/>
        <v>6450</v>
      </c>
      <c r="J487" s="10">
        <f ca="1">Table2[[#This Row],[Unit Price]] * RANDBETWEEN(70,90)/100</f>
        <v>135</v>
      </c>
      <c r="K487" s="12">
        <f ca="1">(Table2[[#This Row],[Unit Price]] - Table2[[#This Row],[Cost per Unit]]) * Table2[[#This Row],[Units Sold]]</f>
        <v>645</v>
      </c>
    </row>
    <row r="488" spans="1:11" ht="15.6" x14ac:dyDescent="0.3">
      <c r="A488" s="5" cm="1">
        <f t="array" ref="A488">1000 + ROW(488:488)</f>
        <v>1488</v>
      </c>
      <c r="B488" s="6">
        <f t="shared" ca="1" si="35"/>
        <v>45339</v>
      </c>
      <c r="C488" s="5" t="str" cm="1">
        <f t="array" aca="1" ref="C488" ca="1">INDEX({"S001","S002","S003","S004","S005"}, RANDBETWEEN(1,5))</f>
        <v>S003</v>
      </c>
      <c r="D488" s="5" t="str" cm="1">
        <f t="array" aca="1" ref="D488" ca="1">INDEX({"Mumbai","Delhi","Bangalore","Ahmedabad","Chennai"}, RANDBETWEEN(1,5))</f>
        <v>Chennai</v>
      </c>
      <c r="E488" s="5" t="str" cm="1">
        <f t="array" aca="1" ref="E488" ca="1">INDEX({"Electronics","Groceries","Furniture","Clothing","Stationery"}, RANDBETWEEN(1,5))</f>
        <v>Electronics</v>
      </c>
      <c r="F488" s="5" t="str">
        <f t="shared" ca="1" si="36"/>
        <v>Desk Lamp</v>
      </c>
      <c r="G488" s="8">
        <f t="shared" ca="1" si="37"/>
        <v>36</v>
      </c>
      <c r="H488" s="10">
        <f t="shared" ca="1" si="38"/>
        <v>500</v>
      </c>
      <c r="I488" s="10">
        <f t="shared" ca="1" si="39"/>
        <v>18000</v>
      </c>
      <c r="J488" s="10">
        <f ca="1">Table2[[#This Row],[Unit Price]] * RANDBETWEEN(70,90)/100</f>
        <v>355</v>
      </c>
      <c r="K488" s="12">
        <f ca="1">(Table2[[#This Row],[Unit Price]] - Table2[[#This Row],[Cost per Unit]]) * Table2[[#This Row],[Units Sold]]</f>
        <v>5220</v>
      </c>
    </row>
    <row r="489" spans="1:11" ht="15.6" x14ac:dyDescent="0.3">
      <c r="A489" s="5" cm="1">
        <f t="array" ref="A489">1000 + ROW(489:489)</f>
        <v>1489</v>
      </c>
      <c r="B489" s="6">
        <f t="shared" ca="1" si="35"/>
        <v>45325</v>
      </c>
      <c r="C489" s="5" t="str" cm="1">
        <f t="array" aca="1" ref="C489" ca="1">INDEX({"S001","S002","S003","S004","S005"}, RANDBETWEEN(1,5))</f>
        <v>S005</v>
      </c>
      <c r="D489" s="5" t="str" cm="1">
        <f t="array" aca="1" ref="D489" ca="1">INDEX({"Mumbai","Delhi","Bangalore","Ahmedabad","Chennai"}, RANDBETWEEN(1,5))</f>
        <v>Ahmedabad</v>
      </c>
      <c r="E489" s="5" t="str" cm="1">
        <f t="array" aca="1" ref="E489" ca="1">INDEX({"Electronics","Groceries","Furniture","Clothing","Stationery"}, RANDBETWEEN(1,5))</f>
        <v>Stationery</v>
      </c>
      <c r="F489" s="5" t="str">
        <f t="shared" ca="1" si="36"/>
        <v>Desk Lamp</v>
      </c>
      <c r="G489" s="8">
        <f t="shared" ca="1" si="37"/>
        <v>12</v>
      </c>
      <c r="H489" s="10">
        <f t="shared" ca="1" si="38"/>
        <v>250</v>
      </c>
      <c r="I489" s="10">
        <f t="shared" ca="1" si="39"/>
        <v>3000</v>
      </c>
      <c r="J489" s="10">
        <f ca="1">Table2[[#This Row],[Unit Price]] * RANDBETWEEN(70,90)/100</f>
        <v>175</v>
      </c>
      <c r="K489" s="12">
        <f ca="1">(Table2[[#This Row],[Unit Price]] - Table2[[#This Row],[Cost per Unit]]) * Table2[[#This Row],[Units Sold]]</f>
        <v>900</v>
      </c>
    </row>
    <row r="490" spans="1:11" ht="15.6" x14ac:dyDescent="0.3">
      <c r="A490" s="5" cm="1">
        <f t="array" ref="A490">1000 + ROW(490:490)</f>
        <v>1490</v>
      </c>
      <c r="B490" s="6">
        <f t="shared" ca="1" si="35"/>
        <v>45364</v>
      </c>
      <c r="C490" s="5" t="str" cm="1">
        <f t="array" aca="1" ref="C490" ca="1">INDEX({"S001","S002","S003","S004","S005"}, RANDBETWEEN(1,5))</f>
        <v>S004</v>
      </c>
      <c r="D490" s="5" t="str" cm="1">
        <f t="array" aca="1" ref="D490" ca="1">INDEX({"Mumbai","Delhi","Bangalore","Ahmedabad","Chennai"}, RANDBETWEEN(1,5))</f>
        <v>Bangalore</v>
      </c>
      <c r="E490" s="5" t="str" cm="1">
        <f t="array" aca="1" ref="E490" ca="1">INDEX({"Electronics","Groceries","Furniture","Clothing","Stationery"}, RANDBETWEEN(1,5))</f>
        <v>Stationery</v>
      </c>
      <c r="F490" s="5" t="str">
        <f t="shared" ca="1" si="36"/>
        <v>Laptop</v>
      </c>
      <c r="G490" s="8">
        <f t="shared" ca="1" si="37"/>
        <v>4</v>
      </c>
      <c r="H490" s="10">
        <f t="shared" ca="1" si="38"/>
        <v>50</v>
      </c>
      <c r="I490" s="10">
        <f t="shared" ca="1" si="39"/>
        <v>200</v>
      </c>
      <c r="J490" s="10">
        <f ca="1">Table2[[#This Row],[Unit Price]] * RANDBETWEEN(70,90)/100</f>
        <v>35</v>
      </c>
      <c r="K490" s="12">
        <f ca="1">(Table2[[#This Row],[Unit Price]] - Table2[[#This Row],[Cost per Unit]]) * Table2[[#This Row],[Units Sold]]</f>
        <v>60</v>
      </c>
    </row>
    <row r="491" spans="1:11" ht="15.6" x14ac:dyDescent="0.3">
      <c r="A491" s="5" cm="1">
        <f t="array" ref="A491">1000 + ROW(491:491)</f>
        <v>1491</v>
      </c>
      <c r="B491" s="6">
        <f t="shared" ca="1" si="35"/>
        <v>45342</v>
      </c>
      <c r="C491" s="5" t="str" cm="1">
        <f t="array" aca="1" ref="C491" ca="1">INDEX({"S001","S002","S003","S004","S005"}, RANDBETWEEN(1,5))</f>
        <v>S001</v>
      </c>
      <c r="D491" s="5" t="str" cm="1">
        <f t="array" aca="1" ref="D491" ca="1">INDEX({"Mumbai","Delhi","Bangalore","Ahmedabad","Chennai"}, RANDBETWEEN(1,5))</f>
        <v>Ahmedabad</v>
      </c>
      <c r="E491" s="5" t="str" cm="1">
        <f t="array" aca="1" ref="E491" ca="1">INDEX({"Electronics","Groceries","Furniture","Clothing","Stationery"}, RANDBETWEEN(1,5))</f>
        <v>Clothing</v>
      </c>
      <c r="F491" s="5" t="str">
        <f t="shared" ca="1" si="36"/>
        <v>Table</v>
      </c>
      <c r="G491" s="8">
        <f t="shared" ca="1" si="37"/>
        <v>71</v>
      </c>
      <c r="H491" s="10">
        <f t="shared" ca="1" si="38"/>
        <v>900</v>
      </c>
      <c r="I491" s="10">
        <f t="shared" ca="1" si="39"/>
        <v>63900</v>
      </c>
      <c r="J491" s="10">
        <f ca="1">Table2[[#This Row],[Unit Price]] * RANDBETWEEN(70,90)/100</f>
        <v>693</v>
      </c>
      <c r="K491" s="12">
        <f ca="1">(Table2[[#This Row],[Unit Price]] - Table2[[#This Row],[Cost per Unit]]) * Table2[[#This Row],[Units Sold]]</f>
        <v>14697</v>
      </c>
    </row>
    <row r="492" spans="1:11" ht="15.6" x14ac:dyDescent="0.3">
      <c r="A492" s="5" cm="1">
        <f t="array" ref="A492">1000 + ROW(492:492)</f>
        <v>1492</v>
      </c>
      <c r="B492" s="6">
        <f t="shared" ca="1" si="35"/>
        <v>45377</v>
      </c>
      <c r="C492" s="5" t="str" cm="1">
        <f t="array" aca="1" ref="C492" ca="1">INDEX({"S001","S002","S003","S004","S005"}, RANDBETWEEN(1,5))</f>
        <v>S004</v>
      </c>
      <c r="D492" s="5" t="str" cm="1">
        <f t="array" aca="1" ref="D492" ca="1">INDEX({"Mumbai","Delhi","Bangalore","Ahmedabad","Chennai"}, RANDBETWEEN(1,5))</f>
        <v>Chennai</v>
      </c>
      <c r="E492" s="5" t="str" cm="1">
        <f t="array" aca="1" ref="E492" ca="1">INDEX({"Electronics","Groceries","Furniture","Clothing","Stationery"}, RANDBETWEEN(1,5))</f>
        <v>Electronics</v>
      </c>
      <c r="F492" s="5" t="str">
        <f t="shared" ca="1" si="36"/>
        <v>Shampoo</v>
      </c>
      <c r="G492" s="8">
        <f t="shared" ca="1" si="37"/>
        <v>40</v>
      </c>
      <c r="H492" s="10">
        <f t="shared" ca="1" si="38"/>
        <v>900</v>
      </c>
      <c r="I492" s="10">
        <f t="shared" ca="1" si="39"/>
        <v>36000</v>
      </c>
      <c r="J492" s="10">
        <f ca="1">Table2[[#This Row],[Unit Price]] * RANDBETWEEN(70,90)/100</f>
        <v>792</v>
      </c>
      <c r="K492" s="12">
        <f ca="1">(Table2[[#This Row],[Unit Price]] - Table2[[#This Row],[Cost per Unit]]) * Table2[[#This Row],[Units Sold]]</f>
        <v>4320</v>
      </c>
    </row>
    <row r="493" spans="1:11" ht="15.6" x14ac:dyDescent="0.3">
      <c r="A493" s="5" cm="1">
        <f t="array" ref="A493">1000 + ROW(493:493)</f>
        <v>1493</v>
      </c>
      <c r="B493" s="6">
        <f t="shared" ca="1" si="35"/>
        <v>45372</v>
      </c>
      <c r="C493" s="5" t="str" cm="1">
        <f t="array" aca="1" ref="C493" ca="1">INDEX({"S001","S002","S003","S004","S005"}, RANDBETWEEN(1,5))</f>
        <v>S001</v>
      </c>
      <c r="D493" s="5" t="str" cm="1">
        <f t="array" aca="1" ref="D493" ca="1">INDEX({"Mumbai","Delhi","Bangalore","Ahmedabad","Chennai"}, RANDBETWEEN(1,5))</f>
        <v>Chennai</v>
      </c>
      <c r="E493" s="5" t="str" cm="1">
        <f t="array" aca="1" ref="E493" ca="1">INDEX({"Electronics","Groceries","Furniture","Clothing","Stationery"}, RANDBETWEEN(1,5))</f>
        <v>Stationery</v>
      </c>
      <c r="F493" s="5" t="str">
        <f t="shared" ca="1" si="36"/>
        <v>Smartphone</v>
      </c>
      <c r="G493" s="8">
        <f t="shared" ca="1" si="37"/>
        <v>85</v>
      </c>
      <c r="H493" s="10">
        <f t="shared" ca="1" si="38"/>
        <v>700</v>
      </c>
      <c r="I493" s="10">
        <f t="shared" ca="1" si="39"/>
        <v>59500</v>
      </c>
      <c r="J493" s="10">
        <f ca="1">Table2[[#This Row],[Unit Price]] * RANDBETWEEN(70,90)/100</f>
        <v>616</v>
      </c>
      <c r="K493" s="12">
        <f ca="1">(Table2[[#This Row],[Unit Price]] - Table2[[#This Row],[Cost per Unit]]) * Table2[[#This Row],[Units Sold]]</f>
        <v>7140</v>
      </c>
    </row>
    <row r="494" spans="1:11" ht="15.6" x14ac:dyDescent="0.3">
      <c r="A494" s="5" cm="1">
        <f t="array" ref="A494">1000 + ROW(494:494)</f>
        <v>1494</v>
      </c>
      <c r="B494" s="6">
        <f t="shared" ca="1" si="35"/>
        <v>45302</v>
      </c>
      <c r="C494" s="5" t="str" cm="1">
        <f t="array" aca="1" ref="C494" ca="1">INDEX({"S001","S002","S003","S004","S005"}, RANDBETWEEN(1,5))</f>
        <v>S005</v>
      </c>
      <c r="D494" s="5" t="str" cm="1">
        <f t="array" aca="1" ref="D494" ca="1">INDEX({"Mumbai","Delhi","Bangalore","Ahmedabad","Chennai"}, RANDBETWEEN(1,5))</f>
        <v>Delhi</v>
      </c>
      <c r="E494" s="5" t="str" cm="1">
        <f t="array" aca="1" ref="E494" ca="1">INDEX({"Electronics","Groceries","Furniture","Clothing","Stationery"}, RANDBETWEEN(1,5))</f>
        <v>Groceries</v>
      </c>
      <c r="F494" s="5" t="str">
        <f t="shared" ca="1" si="36"/>
        <v>Desk Lamp</v>
      </c>
      <c r="G494" s="8">
        <f t="shared" ca="1" si="37"/>
        <v>25</v>
      </c>
      <c r="H494" s="10">
        <f t="shared" ca="1" si="38"/>
        <v>300</v>
      </c>
      <c r="I494" s="10">
        <f t="shared" ca="1" si="39"/>
        <v>7500</v>
      </c>
      <c r="J494" s="10">
        <f ca="1">Table2[[#This Row],[Unit Price]] * RANDBETWEEN(70,90)/100</f>
        <v>264</v>
      </c>
      <c r="K494" s="12">
        <f ca="1">(Table2[[#This Row],[Unit Price]] - Table2[[#This Row],[Cost per Unit]]) * Table2[[#This Row],[Units Sold]]</f>
        <v>900</v>
      </c>
    </row>
    <row r="495" spans="1:11" ht="15.6" x14ac:dyDescent="0.3">
      <c r="A495" s="5" cm="1">
        <f t="array" ref="A495">1000 + ROW(495:495)</f>
        <v>1495</v>
      </c>
      <c r="B495" s="6">
        <f t="shared" ca="1" si="35"/>
        <v>45333</v>
      </c>
      <c r="C495" s="5" t="str" cm="1">
        <f t="array" aca="1" ref="C495" ca="1">INDEX({"S001","S002","S003","S004","S005"}, RANDBETWEEN(1,5))</f>
        <v>S004</v>
      </c>
      <c r="D495" s="5" t="str" cm="1">
        <f t="array" aca="1" ref="D495" ca="1">INDEX({"Mumbai","Delhi","Bangalore","Ahmedabad","Chennai"}, RANDBETWEEN(1,5))</f>
        <v>Mumbai</v>
      </c>
      <c r="E495" s="5" t="str" cm="1">
        <f t="array" aca="1" ref="E495" ca="1">INDEX({"Electronics","Groceries","Furniture","Clothing","Stationery"}, RANDBETWEEN(1,5))</f>
        <v>Furniture</v>
      </c>
      <c r="F495" s="5" t="str">
        <f t="shared" ca="1" si="36"/>
        <v>Smartphone</v>
      </c>
      <c r="G495" s="8">
        <f t="shared" ca="1" si="37"/>
        <v>71</v>
      </c>
      <c r="H495" s="10">
        <f t="shared" ca="1" si="38"/>
        <v>1200</v>
      </c>
      <c r="I495" s="10">
        <f t="shared" ca="1" si="39"/>
        <v>85200</v>
      </c>
      <c r="J495" s="10">
        <f ca="1">Table2[[#This Row],[Unit Price]] * RANDBETWEEN(70,90)/100</f>
        <v>1068</v>
      </c>
      <c r="K495" s="12">
        <f ca="1">(Table2[[#This Row],[Unit Price]] - Table2[[#This Row],[Cost per Unit]]) * Table2[[#This Row],[Units Sold]]</f>
        <v>9372</v>
      </c>
    </row>
    <row r="496" spans="1:11" ht="15.6" x14ac:dyDescent="0.3">
      <c r="A496" s="5" cm="1">
        <f t="array" ref="A496">1000 + ROW(496:496)</f>
        <v>1496</v>
      </c>
      <c r="B496" s="6">
        <f t="shared" ca="1" si="35"/>
        <v>45345</v>
      </c>
      <c r="C496" s="5" t="str" cm="1">
        <f t="array" aca="1" ref="C496" ca="1">INDEX({"S001","S002","S003","S004","S005"}, RANDBETWEEN(1,5))</f>
        <v>S005</v>
      </c>
      <c r="D496" s="5" t="str" cm="1">
        <f t="array" aca="1" ref="D496" ca="1">INDEX({"Mumbai","Delhi","Bangalore","Ahmedabad","Chennai"}, RANDBETWEEN(1,5))</f>
        <v>Ahmedabad</v>
      </c>
      <c r="E496" s="5" t="str" cm="1">
        <f t="array" aca="1" ref="E496" ca="1">INDEX({"Electronics","Groceries","Furniture","Clothing","Stationery"}, RANDBETWEEN(1,5))</f>
        <v>Electronics</v>
      </c>
      <c r="F496" s="5" t="str">
        <f t="shared" ca="1" si="36"/>
        <v>Rice 5kg</v>
      </c>
      <c r="G496" s="8">
        <f t="shared" ca="1" si="37"/>
        <v>39</v>
      </c>
      <c r="H496" s="10">
        <f t="shared" ca="1" si="38"/>
        <v>250</v>
      </c>
      <c r="I496" s="10">
        <f t="shared" ca="1" si="39"/>
        <v>9750</v>
      </c>
      <c r="J496" s="10">
        <f ca="1">Table2[[#This Row],[Unit Price]] * RANDBETWEEN(70,90)/100</f>
        <v>215</v>
      </c>
      <c r="K496" s="12">
        <f ca="1">(Table2[[#This Row],[Unit Price]] - Table2[[#This Row],[Cost per Unit]]) * Table2[[#This Row],[Units Sold]]</f>
        <v>1365</v>
      </c>
    </row>
    <row r="497" spans="1:11" ht="15.6" x14ac:dyDescent="0.3">
      <c r="A497" s="5" cm="1">
        <f t="array" ref="A497">1000 + ROW(497:497)</f>
        <v>1497</v>
      </c>
      <c r="B497" s="6">
        <f t="shared" ca="1" si="35"/>
        <v>45374</v>
      </c>
      <c r="C497" s="5" t="str" cm="1">
        <f t="array" aca="1" ref="C497" ca="1">INDEX({"S001","S002","S003","S004","S005"}, RANDBETWEEN(1,5))</f>
        <v>S002</v>
      </c>
      <c r="D497" s="5" t="str" cm="1">
        <f t="array" aca="1" ref="D497" ca="1">INDEX({"Mumbai","Delhi","Bangalore","Ahmedabad","Chennai"}, RANDBETWEEN(1,5))</f>
        <v>Mumbai</v>
      </c>
      <c r="E497" s="5" t="str" cm="1">
        <f t="array" aca="1" ref="E497" ca="1">INDEX({"Electronics","Groceries","Furniture","Clothing","Stationery"}, RANDBETWEEN(1,5))</f>
        <v>Electronics</v>
      </c>
      <c r="F497" s="5" t="str">
        <f t="shared" ca="1" si="36"/>
        <v>Shampoo</v>
      </c>
      <c r="G497" s="8">
        <f t="shared" ca="1" si="37"/>
        <v>18</v>
      </c>
      <c r="H497" s="10">
        <f t="shared" ca="1" si="38"/>
        <v>700</v>
      </c>
      <c r="I497" s="10">
        <f t="shared" ca="1" si="39"/>
        <v>12600</v>
      </c>
      <c r="J497" s="10">
        <f ca="1">Table2[[#This Row],[Unit Price]] * RANDBETWEEN(70,90)/100</f>
        <v>525</v>
      </c>
      <c r="K497" s="12">
        <f ca="1">(Table2[[#This Row],[Unit Price]] - Table2[[#This Row],[Cost per Unit]]) * Table2[[#This Row],[Units Sold]]</f>
        <v>3150</v>
      </c>
    </row>
    <row r="498" spans="1:11" ht="15.6" x14ac:dyDescent="0.3">
      <c r="A498" s="5" cm="1">
        <f t="array" ref="A498">1000 + ROW(498:498)</f>
        <v>1498</v>
      </c>
      <c r="B498" s="6">
        <f t="shared" ca="1" si="35"/>
        <v>45320</v>
      </c>
      <c r="C498" s="5" t="str" cm="1">
        <f t="array" aca="1" ref="C498" ca="1">INDEX({"S001","S002","S003","S004","S005"}, RANDBETWEEN(1,5))</f>
        <v>S001</v>
      </c>
      <c r="D498" s="5" t="str" cm="1">
        <f t="array" aca="1" ref="D498" ca="1">INDEX({"Mumbai","Delhi","Bangalore","Ahmedabad","Chennai"}, RANDBETWEEN(1,5))</f>
        <v>Mumbai</v>
      </c>
      <c r="E498" s="5" t="str" cm="1">
        <f t="array" aca="1" ref="E498" ca="1">INDEX({"Electronics","Groceries","Furniture","Clothing","Stationery"}, RANDBETWEEN(1,5))</f>
        <v>Furniture</v>
      </c>
      <c r="F498" s="5" t="str">
        <f t="shared" ca="1" si="36"/>
        <v>Laptop</v>
      </c>
      <c r="G498" s="8">
        <f t="shared" ca="1" si="37"/>
        <v>79</v>
      </c>
      <c r="H498" s="10">
        <f t="shared" ca="1" si="38"/>
        <v>150</v>
      </c>
      <c r="I498" s="10">
        <f t="shared" ca="1" si="39"/>
        <v>11850</v>
      </c>
      <c r="J498" s="10">
        <f ca="1">Table2[[#This Row],[Unit Price]] * RANDBETWEEN(70,90)/100</f>
        <v>106.5</v>
      </c>
      <c r="K498" s="12">
        <f ca="1">(Table2[[#This Row],[Unit Price]] - Table2[[#This Row],[Cost per Unit]]) * Table2[[#This Row],[Units Sold]]</f>
        <v>3436.5</v>
      </c>
    </row>
    <row r="499" spans="1:11" ht="15.6" x14ac:dyDescent="0.3">
      <c r="A499" s="5" cm="1">
        <f t="array" ref="A499">1000 + ROW(499:499)</f>
        <v>1499</v>
      </c>
      <c r="B499" s="6">
        <f t="shared" ca="1" si="35"/>
        <v>45369</v>
      </c>
      <c r="C499" s="5" t="str" cm="1">
        <f t="array" aca="1" ref="C499" ca="1">INDEX({"S001","S002","S003","S004","S005"}, RANDBETWEEN(1,5))</f>
        <v>S004</v>
      </c>
      <c r="D499" s="5" t="str" cm="1">
        <f t="array" aca="1" ref="D499" ca="1">INDEX({"Mumbai","Delhi","Bangalore","Ahmedabad","Chennai"}, RANDBETWEEN(1,5))</f>
        <v>Mumbai</v>
      </c>
      <c r="E499" s="5" t="str" cm="1">
        <f t="array" aca="1" ref="E499" ca="1">INDEX({"Electronics","Groceries","Furniture","Clothing","Stationery"}, RANDBETWEEN(1,5))</f>
        <v>Groceries</v>
      </c>
      <c r="F499" s="5" t="str">
        <f t="shared" ca="1" si="36"/>
        <v>Rice 5kg</v>
      </c>
      <c r="G499" s="8">
        <f t="shared" ca="1" si="37"/>
        <v>57</v>
      </c>
      <c r="H499" s="10">
        <f t="shared" ca="1" si="38"/>
        <v>30000</v>
      </c>
      <c r="I499" s="10">
        <f t="shared" ca="1" si="39"/>
        <v>1710000</v>
      </c>
      <c r="J499" s="10">
        <f ca="1">Table2[[#This Row],[Unit Price]] * RANDBETWEEN(70,90)/100</f>
        <v>21600</v>
      </c>
      <c r="K499" s="12">
        <f ca="1">(Table2[[#This Row],[Unit Price]] - Table2[[#This Row],[Cost per Unit]]) * Table2[[#This Row],[Units Sold]]</f>
        <v>478800</v>
      </c>
    </row>
    <row r="500" spans="1:11" ht="15.6" x14ac:dyDescent="0.3">
      <c r="A500" s="5" cm="1">
        <f t="array" ref="A500">1000 + ROW(500:500)</f>
        <v>1500</v>
      </c>
      <c r="B500" s="6">
        <f t="shared" ca="1" si="35"/>
        <v>45337</v>
      </c>
      <c r="C500" s="5" t="str" cm="1">
        <f t="array" aca="1" ref="C500" ca="1">INDEX({"S001","S002","S003","S004","S005"}, RANDBETWEEN(1,5))</f>
        <v>S001</v>
      </c>
      <c r="D500" s="5" t="str" cm="1">
        <f t="array" aca="1" ref="D500" ca="1">INDEX({"Mumbai","Delhi","Bangalore","Ahmedabad","Chennai"}, RANDBETWEEN(1,5))</f>
        <v>Delhi</v>
      </c>
      <c r="E500" s="5" t="str" cm="1">
        <f t="array" aca="1" ref="E500" ca="1">INDEX({"Electronics","Groceries","Furniture","Clothing","Stationery"}, RANDBETWEEN(1,5))</f>
        <v>Clothing</v>
      </c>
      <c r="F500" s="5" t="str">
        <f t="shared" ca="1" si="36"/>
        <v>Shampoo</v>
      </c>
      <c r="G500" s="8">
        <f t="shared" ca="1" si="37"/>
        <v>25</v>
      </c>
      <c r="H500" s="10">
        <f t="shared" ca="1" si="38"/>
        <v>1200</v>
      </c>
      <c r="I500" s="10">
        <f t="shared" ca="1" si="39"/>
        <v>30000</v>
      </c>
      <c r="J500" s="10">
        <f ca="1">Table2[[#This Row],[Unit Price]] * RANDBETWEEN(70,90)/100</f>
        <v>1068</v>
      </c>
      <c r="K500" s="12">
        <f ca="1">(Table2[[#This Row],[Unit Price]] - Table2[[#This Row],[Cost per Unit]]) * Table2[[#This Row],[Units Sold]]</f>
        <v>3300</v>
      </c>
    </row>
    <row r="501" spans="1:11" ht="15.6" x14ac:dyDescent="0.3">
      <c r="A501" s="5" cm="1">
        <f t="array" ref="A501">1000 + ROW(501:501)</f>
        <v>1501</v>
      </c>
      <c r="B501" s="6">
        <f t="shared" ca="1" si="35"/>
        <v>45355</v>
      </c>
      <c r="C501" s="5" t="str" cm="1">
        <f t="array" aca="1" ref="C501" ca="1">INDEX({"S001","S002","S003","S004","S005"}, RANDBETWEEN(1,5))</f>
        <v>S004</v>
      </c>
      <c r="D501" s="5" t="str" cm="1">
        <f t="array" aca="1" ref="D501" ca="1">INDEX({"Mumbai","Delhi","Bangalore","Ahmedabad","Chennai"}, RANDBETWEEN(1,5))</f>
        <v>Delhi</v>
      </c>
      <c r="E501" s="5" t="str" cm="1">
        <f t="array" aca="1" ref="E501" ca="1">INDEX({"Electronics","Groceries","Furniture","Clothing","Stationery"}, RANDBETWEEN(1,5))</f>
        <v>Stationery</v>
      </c>
      <c r="F501" s="5" t="str">
        <f t="shared" ca="1" si="36"/>
        <v>Smartphone</v>
      </c>
      <c r="G501" s="8">
        <f t="shared" ca="1" si="37"/>
        <v>42</v>
      </c>
      <c r="H501" s="10">
        <f t="shared" ca="1" si="38"/>
        <v>1200</v>
      </c>
      <c r="I501" s="10">
        <f t="shared" ca="1" si="39"/>
        <v>50400</v>
      </c>
      <c r="J501" s="10">
        <f ca="1">Table2[[#This Row],[Unit Price]] * RANDBETWEEN(70,90)/100</f>
        <v>948</v>
      </c>
      <c r="K501" s="12">
        <f ca="1">(Table2[[#This Row],[Unit Price]] - Table2[[#This Row],[Cost per Unit]]) * Table2[[#This Row],[Units Sold]]</f>
        <v>10584</v>
      </c>
    </row>
    <row r="502" spans="1:11" ht="15.6" x14ac:dyDescent="0.3">
      <c r="A502" s="5" cm="1">
        <f t="array" ref="A502">1000 + ROW(502:502)</f>
        <v>1502</v>
      </c>
      <c r="B502" s="6">
        <f t="shared" ca="1" si="35"/>
        <v>45348</v>
      </c>
      <c r="C502" s="5" t="str" cm="1">
        <f t="array" aca="1" ref="C502" ca="1">INDEX({"S001","S002","S003","S004","S005"}, RANDBETWEEN(1,5))</f>
        <v>S003</v>
      </c>
      <c r="D502" s="5" t="str" cm="1">
        <f t="array" aca="1" ref="D502" ca="1">INDEX({"Mumbai","Delhi","Bangalore","Ahmedabad","Chennai"}, RANDBETWEEN(1,5))</f>
        <v>Chennai</v>
      </c>
      <c r="E502" s="5" t="str" cm="1">
        <f t="array" aca="1" ref="E502" ca="1">INDEX({"Electronics","Groceries","Furniture","Clothing","Stationery"}, RANDBETWEEN(1,5))</f>
        <v>Electronics</v>
      </c>
      <c r="F502" s="5" t="str">
        <f t="shared" ca="1" si="36"/>
        <v>Laptop</v>
      </c>
      <c r="G502" s="8">
        <f t="shared" ca="1" si="37"/>
        <v>17</v>
      </c>
      <c r="H502" s="10">
        <f t="shared" ca="1" si="38"/>
        <v>50</v>
      </c>
      <c r="I502" s="10">
        <f t="shared" ca="1" si="39"/>
        <v>850</v>
      </c>
      <c r="J502" s="10">
        <f ca="1">Table2[[#This Row],[Unit Price]] * RANDBETWEEN(70,90)/100</f>
        <v>41</v>
      </c>
      <c r="K502" s="12">
        <f ca="1">(Table2[[#This Row],[Unit Price]] - Table2[[#This Row],[Cost per Unit]]) * Table2[[#This Row],[Units Sold]]</f>
        <v>153</v>
      </c>
    </row>
    <row r="503" spans="1:11" ht="15.6" x14ac:dyDescent="0.3">
      <c r="A503" s="5" cm="1">
        <f t="array" ref="A503">1000 + ROW(503:503)</f>
        <v>1503</v>
      </c>
      <c r="B503" s="6">
        <f t="shared" ca="1" si="35"/>
        <v>45298</v>
      </c>
      <c r="C503" s="5" t="str" cm="1">
        <f t="array" aca="1" ref="C503" ca="1">INDEX({"S001","S002","S003","S004","S005"}, RANDBETWEEN(1,5))</f>
        <v>S005</v>
      </c>
      <c r="D503" s="5" t="str" cm="1">
        <f t="array" aca="1" ref="D503" ca="1">INDEX({"Mumbai","Delhi","Bangalore","Ahmedabad","Chennai"}, RANDBETWEEN(1,5))</f>
        <v>Mumbai</v>
      </c>
      <c r="E503" s="5" t="str" cm="1">
        <f t="array" aca="1" ref="E503" ca="1">INDEX({"Electronics","Groceries","Furniture","Clothing","Stationery"}, RANDBETWEEN(1,5))</f>
        <v>Groceries</v>
      </c>
      <c r="F503" s="5" t="str">
        <f t="shared" ca="1" si="36"/>
        <v>Shampoo</v>
      </c>
      <c r="G503" s="8">
        <f t="shared" ca="1" si="37"/>
        <v>11</v>
      </c>
      <c r="H503" s="10">
        <f t="shared" ca="1" si="38"/>
        <v>30000</v>
      </c>
      <c r="I503" s="10">
        <f t="shared" ca="1" si="39"/>
        <v>330000</v>
      </c>
      <c r="J503" s="10">
        <f ca="1">Table2[[#This Row],[Unit Price]] * RANDBETWEEN(70,90)/100</f>
        <v>21300</v>
      </c>
      <c r="K503" s="12">
        <f ca="1">(Table2[[#This Row],[Unit Price]] - Table2[[#This Row],[Cost per Unit]]) * Table2[[#This Row],[Units Sold]]</f>
        <v>95700</v>
      </c>
    </row>
    <row r="504" spans="1:11" ht="15.6" x14ac:dyDescent="0.3">
      <c r="A504" s="5" cm="1">
        <f t="array" ref="A504">1000 + ROW(504:504)</f>
        <v>1504</v>
      </c>
      <c r="B504" s="6">
        <f t="shared" ca="1" si="35"/>
        <v>45366</v>
      </c>
      <c r="C504" s="5" t="str" cm="1">
        <f t="array" aca="1" ref="C504" ca="1">INDEX({"S001","S002","S003","S004","S005"}, RANDBETWEEN(1,5))</f>
        <v>S002</v>
      </c>
      <c r="D504" s="5" t="str" cm="1">
        <f t="array" aca="1" ref="D504" ca="1">INDEX({"Mumbai","Delhi","Bangalore","Ahmedabad","Chennai"}, RANDBETWEEN(1,5))</f>
        <v>Chennai</v>
      </c>
      <c r="E504" s="5" t="str" cm="1">
        <f t="array" aca="1" ref="E504" ca="1">INDEX({"Electronics","Groceries","Furniture","Clothing","Stationery"}, RANDBETWEEN(1,5))</f>
        <v>Electronics</v>
      </c>
      <c r="F504" s="5" t="str">
        <f t="shared" ca="1" si="36"/>
        <v>Smartphone</v>
      </c>
      <c r="G504" s="8">
        <f t="shared" ca="1" si="37"/>
        <v>83</v>
      </c>
      <c r="H504" s="10">
        <f t="shared" ca="1" si="38"/>
        <v>15000</v>
      </c>
      <c r="I504" s="10">
        <f t="shared" ca="1" si="39"/>
        <v>1245000</v>
      </c>
      <c r="J504" s="10">
        <f ca="1">Table2[[#This Row],[Unit Price]] * RANDBETWEEN(70,90)/100</f>
        <v>12900</v>
      </c>
      <c r="K504" s="12">
        <f ca="1">(Table2[[#This Row],[Unit Price]] - Table2[[#This Row],[Cost per Unit]]) * Table2[[#This Row],[Units Sold]]</f>
        <v>174300</v>
      </c>
    </row>
    <row r="505" spans="1:11" ht="15.6" x14ac:dyDescent="0.3">
      <c r="A505" s="5" cm="1">
        <f t="array" ref="A505">1000 + ROW(505:505)</f>
        <v>1505</v>
      </c>
      <c r="B505" s="6">
        <f t="shared" ca="1" si="35"/>
        <v>45342</v>
      </c>
      <c r="C505" s="5" t="str" cm="1">
        <f t="array" aca="1" ref="C505" ca="1">INDEX({"S001","S002","S003","S004","S005"}, RANDBETWEEN(1,5))</f>
        <v>S004</v>
      </c>
      <c r="D505" s="5" t="str" cm="1">
        <f t="array" aca="1" ref="D505" ca="1">INDEX({"Mumbai","Delhi","Bangalore","Ahmedabad","Chennai"}, RANDBETWEEN(1,5))</f>
        <v>Mumbai</v>
      </c>
      <c r="E505" s="5" t="str" cm="1">
        <f t="array" aca="1" ref="E505" ca="1">INDEX({"Electronics","Groceries","Furniture","Clothing","Stationery"}, RANDBETWEEN(1,5))</f>
        <v>Stationery</v>
      </c>
      <c r="F505" s="5" t="str">
        <f t="shared" ca="1" si="36"/>
        <v>Desk Lamp</v>
      </c>
      <c r="G505" s="8">
        <f t="shared" ca="1" si="37"/>
        <v>32</v>
      </c>
      <c r="H505" s="10">
        <f t="shared" ca="1" si="38"/>
        <v>250</v>
      </c>
      <c r="I505" s="10">
        <f t="shared" ca="1" si="39"/>
        <v>8000</v>
      </c>
      <c r="J505" s="10">
        <f ca="1">Table2[[#This Row],[Unit Price]] * RANDBETWEEN(70,90)/100</f>
        <v>175</v>
      </c>
      <c r="K505" s="12">
        <f ca="1">(Table2[[#This Row],[Unit Price]] - Table2[[#This Row],[Cost per Unit]]) * Table2[[#This Row],[Units Sold]]</f>
        <v>2400</v>
      </c>
    </row>
    <row r="506" spans="1:11" ht="15.6" x14ac:dyDescent="0.3">
      <c r="A506" s="5" cm="1">
        <f t="array" ref="A506">1000 + ROW(506:506)</f>
        <v>1506</v>
      </c>
      <c r="B506" s="6">
        <f t="shared" ca="1" si="35"/>
        <v>45369</v>
      </c>
      <c r="C506" s="5" t="str" cm="1">
        <f t="array" aca="1" ref="C506" ca="1">INDEX({"S001","S002","S003","S004","S005"}, RANDBETWEEN(1,5))</f>
        <v>S002</v>
      </c>
      <c r="D506" s="5" t="str" cm="1">
        <f t="array" aca="1" ref="D506" ca="1">INDEX({"Mumbai","Delhi","Bangalore","Ahmedabad","Chennai"}, RANDBETWEEN(1,5))</f>
        <v>Chennai</v>
      </c>
      <c r="E506" s="5" t="str" cm="1">
        <f t="array" aca="1" ref="E506" ca="1">INDEX({"Electronics","Groceries","Furniture","Clothing","Stationery"}, RANDBETWEEN(1,5))</f>
        <v>Clothing</v>
      </c>
      <c r="F506" s="5" t="str">
        <f t="shared" ca="1" si="36"/>
        <v>Rice 5kg</v>
      </c>
      <c r="G506" s="8">
        <f t="shared" ca="1" si="37"/>
        <v>81</v>
      </c>
      <c r="H506" s="10">
        <f t="shared" ca="1" si="38"/>
        <v>1200</v>
      </c>
      <c r="I506" s="10">
        <f t="shared" ca="1" si="39"/>
        <v>97200</v>
      </c>
      <c r="J506" s="10">
        <f ca="1">Table2[[#This Row],[Unit Price]] * RANDBETWEEN(70,90)/100</f>
        <v>1044</v>
      </c>
      <c r="K506" s="12">
        <f ca="1">(Table2[[#This Row],[Unit Price]] - Table2[[#This Row],[Cost per Unit]]) * Table2[[#This Row],[Units Sold]]</f>
        <v>12636</v>
      </c>
    </row>
    <row r="507" spans="1:11" ht="15.6" x14ac:dyDescent="0.3">
      <c r="A507" s="5" cm="1">
        <f t="array" ref="A507">1000 + ROW(507:507)</f>
        <v>1507</v>
      </c>
      <c r="B507" s="6">
        <f t="shared" ca="1" si="35"/>
        <v>45351</v>
      </c>
      <c r="C507" s="5" t="str" cm="1">
        <f t="array" aca="1" ref="C507" ca="1">INDEX({"S001","S002","S003","S004","S005"}, RANDBETWEEN(1,5))</f>
        <v>S003</v>
      </c>
      <c r="D507" s="5" t="str" cm="1">
        <f t="array" aca="1" ref="D507" ca="1">INDEX({"Mumbai","Delhi","Bangalore","Ahmedabad","Chennai"}, RANDBETWEEN(1,5))</f>
        <v>Ahmedabad</v>
      </c>
      <c r="E507" s="5" t="str" cm="1">
        <f t="array" aca="1" ref="E507" ca="1">INDEX({"Electronics","Groceries","Furniture","Clothing","Stationery"}, RANDBETWEEN(1,5))</f>
        <v>Clothing</v>
      </c>
      <c r="F507" s="5" t="str">
        <f t="shared" ca="1" si="36"/>
        <v>T-shirt</v>
      </c>
      <c r="G507" s="8">
        <f t="shared" ca="1" si="37"/>
        <v>64</v>
      </c>
      <c r="H507" s="10">
        <f t="shared" ca="1" si="38"/>
        <v>50</v>
      </c>
      <c r="I507" s="10">
        <f t="shared" ca="1" si="39"/>
        <v>3200</v>
      </c>
      <c r="J507" s="10">
        <f ca="1">Table2[[#This Row],[Unit Price]] * RANDBETWEEN(70,90)/100</f>
        <v>37.5</v>
      </c>
      <c r="K507" s="12">
        <f ca="1">(Table2[[#This Row],[Unit Price]] - Table2[[#This Row],[Cost per Unit]]) * Table2[[#This Row],[Units Sold]]</f>
        <v>800</v>
      </c>
    </row>
    <row r="508" spans="1:11" ht="15.6" x14ac:dyDescent="0.3">
      <c r="A508" s="5" cm="1">
        <f t="array" ref="A508">1000 + ROW(508:508)</f>
        <v>1508</v>
      </c>
      <c r="B508" s="6">
        <f t="shared" ca="1" si="35"/>
        <v>45373</v>
      </c>
      <c r="C508" s="5" t="str" cm="1">
        <f t="array" aca="1" ref="C508" ca="1">INDEX({"S001","S002","S003","S004","S005"}, RANDBETWEEN(1,5))</f>
        <v>S004</v>
      </c>
      <c r="D508" s="5" t="str" cm="1">
        <f t="array" aca="1" ref="D508" ca="1">INDEX({"Mumbai","Delhi","Bangalore","Ahmedabad","Chennai"}, RANDBETWEEN(1,5))</f>
        <v>Chennai</v>
      </c>
      <c r="E508" s="5" t="str" cm="1">
        <f t="array" aca="1" ref="E508" ca="1">INDEX({"Electronics","Groceries","Furniture","Clothing","Stationery"}, RANDBETWEEN(1,5))</f>
        <v>Groceries</v>
      </c>
      <c r="F508" s="5" t="str">
        <f t="shared" ca="1" si="36"/>
        <v>Office Chair</v>
      </c>
      <c r="G508" s="8">
        <f t="shared" ca="1" si="37"/>
        <v>53</v>
      </c>
      <c r="H508" s="10">
        <f t="shared" ca="1" si="38"/>
        <v>1200</v>
      </c>
      <c r="I508" s="10">
        <f t="shared" ca="1" si="39"/>
        <v>63600</v>
      </c>
      <c r="J508" s="10">
        <f ca="1">Table2[[#This Row],[Unit Price]] * RANDBETWEEN(70,90)/100</f>
        <v>936</v>
      </c>
      <c r="K508" s="12">
        <f ca="1">(Table2[[#This Row],[Unit Price]] - Table2[[#This Row],[Cost per Unit]]) * Table2[[#This Row],[Units Sold]]</f>
        <v>13992</v>
      </c>
    </row>
    <row r="509" spans="1:11" ht="15.6" x14ac:dyDescent="0.3">
      <c r="A509" s="5" cm="1">
        <f t="array" ref="A509">1000 + ROW(509:509)</f>
        <v>1509</v>
      </c>
      <c r="B509" s="6">
        <f t="shared" ca="1" si="35"/>
        <v>45300</v>
      </c>
      <c r="C509" s="5" t="str" cm="1">
        <f t="array" aca="1" ref="C509" ca="1">INDEX({"S001","S002","S003","S004","S005"}, RANDBETWEEN(1,5))</f>
        <v>S001</v>
      </c>
      <c r="D509" s="5" t="str" cm="1">
        <f t="array" aca="1" ref="D509" ca="1">INDEX({"Mumbai","Delhi","Bangalore","Ahmedabad","Chennai"}, RANDBETWEEN(1,5))</f>
        <v>Delhi</v>
      </c>
      <c r="E509" s="5" t="str" cm="1">
        <f t="array" aca="1" ref="E509" ca="1">INDEX({"Electronics","Groceries","Furniture","Clothing","Stationery"}, RANDBETWEEN(1,5))</f>
        <v>Furniture</v>
      </c>
      <c r="F509" s="5" t="str">
        <f t="shared" ca="1" si="36"/>
        <v>Shampoo</v>
      </c>
      <c r="G509" s="8">
        <f t="shared" ca="1" si="37"/>
        <v>27</v>
      </c>
      <c r="H509" s="10">
        <f t="shared" ca="1" si="38"/>
        <v>700</v>
      </c>
      <c r="I509" s="10">
        <f t="shared" ca="1" si="39"/>
        <v>18900</v>
      </c>
      <c r="J509" s="10">
        <f ca="1">Table2[[#This Row],[Unit Price]] * RANDBETWEEN(70,90)/100</f>
        <v>581</v>
      </c>
      <c r="K509" s="12">
        <f ca="1">(Table2[[#This Row],[Unit Price]] - Table2[[#This Row],[Cost per Unit]]) * Table2[[#This Row],[Units Sold]]</f>
        <v>3213</v>
      </c>
    </row>
    <row r="510" spans="1:11" ht="15.6" x14ac:dyDescent="0.3">
      <c r="A510" s="5" cm="1">
        <f t="array" ref="A510">1000 + ROW(510:510)</f>
        <v>1510</v>
      </c>
      <c r="B510" s="6">
        <f t="shared" ca="1" si="35"/>
        <v>45328</v>
      </c>
      <c r="C510" s="5" t="str" cm="1">
        <f t="array" aca="1" ref="C510" ca="1">INDEX({"S001","S002","S003","S004","S005"}, RANDBETWEEN(1,5))</f>
        <v>S004</v>
      </c>
      <c r="D510" s="5" t="str" cm="1">
        <f t="array" aca="1" ref="D510" ca="1">INDEX({"Mumbai","Delhi","Bangalore","Ahmedabad","Chennai"}, RANDBETWEEN(1,5))</f>
        <v>Chennai</v>
      </c>
      <c r="E510" s="5" t="str" cm="1">
        <f t="array" aca="1" ref="E510" ca="1">INDEX({"Electronics","Groceries","Furniture","Clothing","Stationery"}, RANDBETWEEN(1,5))</f>
        <v>Stationery</v>
      </c>
      <c r="F510" s="5" t="str">
        <f t="shared" ca="1" si="36"/>
        <v>Shampoo</v>
      </c>
      <c r="G510" s="8">
        <f t="shared" ca="1" si="37"/>
        <v>33</v>
      </c>
      <c r="H510" s="10">
        <f t="shared" ca="1" si="38"/>
        <v>150</v>
      </c>
      <c r="I510" s="10">
        <f t="shared" ca="1" si="39"/>
        <v>4950</v>
      </c>
      <c r="J510" s="10">
        <f ca="1">Table2[[#This Row],[Unit Price]] * RANDBETWEEN(70,90)/100</f>
        <v>106.5</v>
      </c>
      <c r="K510" s="12">
        <f ca="1">(Table2[[#This Row],[Unit Price]] - Table2[[#This Row],[Cost per Unit]]) * Table2[[#This Row],[Units Sold]]</f>
        <v>1435.5</v>
      </c>
    </row>
    <row r="511" spans="1:11" ht="15.6" x14ac:dyDescent="0.3">
      <c r="A511" s="5" cm="1">
        <f t="array" ref="A511">1000 + ROW(511:511)</f>
        <v>1511</v>
      </c>
      <c r="B511" s="6">
        <f t="shared" ca="1" si="35"/>
        <v>45323</v>
      </c>
      <c r="C511" s="5" t="str" cm="1">
        <f t="array" aca="1" ref="C511" ca="1">INDEX({"S001","S002","S003","S004","S005"}, RANDBETWEEN(1,5))</f>
        <v>S005</v>
      </c>
      <c r="D511" s="5" t="str" cm="1">
        <f t="array" aca="1" ref="D511" ca="1">INDEX({"Mumbai","Delhi","Bangalore","Ahmedabad","Chennai"}, RANDBETWEEN(1,5))</f>
        <v>Ahmedabad</v>
      </c>
      <c r="E511" s="5" t="str" cm="1">
        <f t="array" aca="1" ref="E511" ca="1">INDEX({"Electronics","Groceries","Furniture","Clothing","Stationery"}, RANDBETWEEN(1,5))</f>
        <v>Electronics</v>
      </c>
      <c r="F511" s="5" t="str">
        <f t="shared" ca="1" si="36"/>
        <v>Desk Lamp</v>
      </c>
      <c r="G511" s="8">
        <f t="shared" ca="1" si="37"/>
        <v>47</v>
      </c>
      <c r="H511" s="10">
        <f t="shared" ca="1" si="38"/>
        <v>250</v>
      </c>
      <c r="I511" s="10">
        <f t="shared" ca="1" si="39"/>
        <v>11750</v>
      </c>
      <c r="J511" s="10">
        <f ca="1">Table2[[#This Row],[Unit Price]] * RANDBETWEEN(70,90)/100</f>
        <v>197.5</v>
      </c>
      <c r="K511" s="12">
        <f ca="1">(Table2[[#This Row],[Unit Price]] - Table2[[#This Row],[Cost per Unit]]) * Table2[[#This Row],[Units Sold]]</f>
        <v>2467.5</v>
      </c>
    </row>
    <row r="512" spans="1:11" ht="15.6" x14ac:dyDescent="0.3">
      <c r="A512" s="5" cm="1">
        <f t="array" ref="A512">1000 + ROW(512:512)</f>
        <v>1512</v>
      </c>
      <c r="B512" s="6">
        <f t="shared" ca="1" si="35"/>
        <v>45373</v>
      </c>
      <c r="C512" s="5" t="str" cm="1">
        <f t="array" aca="1" ref="C512" ca="1">INDEX({"S001","S002","S003","S004","S005"}, RANDBETWEEN(1,5))</f>
        <v>S002</v>
      </c>
      <c r="D512" s="5" t="str" cm="1">
        <f t="array" aca="1" ref="D512" ca="1">INDEX({"Mumbai","Delhi","Bangalore","Ahmedabad","Chennai"}, RANDBETWEEN(1,5))</f>
        <v>Delhi</v>
      </c>
      <c r="E512" s="5" t="str" cm="1">
        <f t="array" aca="1" ref="E512" ca="1">INDEX({"Electronics","Groceries","Furniture","Clothing","Stationery"}, RANDBETWEEN(1,5))</f>
        <v>Electronics</v>
      </c>
      <c r="F512" s="5" t="str">
        <f t="shared" ca="1" si="36"/>
        <v>Office Chair</v>
      </c>
      <c r="G512" s="8">
        <f t="shared" ca="1" si="37"/>
        <v>11</v>
      </c>
      <c r="H512" s="10">
        <f t="shared" ca="1" si="38"/>
        <v>1200</v>
      </c>
      <c r="I512" s="10">
        <f t="shared" ca="1" si="39"/>
        <v>13200</v>
      </c>
      <c r="J512" s="10">
        <f ca="1">Table2[[#This Row],[Unit Price]] * RANDBETWEEN(70,90)/100</f>
        <v>996</v>
      </c>
      <c r="K512" s="12">
        <f ca="1">(Table2[[#This Row],[Unit Price]] - Table2[[#This Row],[Cost per Unit]]) * Table2[[#This Row],[Units Sold]]</f>
        <v>2244</v>
      </c>
    </row>
    <row r="513" spans="1:11" ht="15.6" x14ac:dyDescent="0.3">
      <c r="A513" s="5" cm="1">
        <f t="array" ref="A513">1000 + ROW(513:513)</f>
        <v>1513</v>
      </c>
      <c r="B513" s="6">
        <f t="shared" ca="1" si="35"/>
        <v>45292</v>
      </c>
      <c r="C513" s="5" t="str" cm="1">
        <f t="array" aca="1" ref="C513" ca="1">INDEX({"S001","S002","S003","S004","S005"}, RANDBETWEEN(1,5))</f>
        <v>S002</v>
      </c>
      <c r="D513" s="5" t="str" cm="1">
        <f t="array" aca="1" ref="D513" ca="1">INDEX({"Mumbai","Delhi","Bangalore","Ahmedabad","Chennai"}, RANDBETWEEN(1,5))</f>
        <v>Chennai</v>
      </c>
      <c r="E513" s="5" t="str" cm="1">
        <f t="array" aca="1" ref="E513" ca="1">INDEX({"Electronics","Groceries","Furniture","Clothing","Stationery"}, RANDBETWEEN(1,5))</f>
        <v>Stationery</v>
      </c>
      <c r="F513" s="5" t="str">
        <f t="shared" ca="1" si="36"/>
        <v>Laptop</v>
      </c>
      <c r="G513" s="8">
        <f t="shared" ca="1" si="37"/>
        <v>27</v>
      </c>
      <c r="H513" s="10">
        <f t="shared" ca="1" si="38"/>
        <v>300</v>
      </c>
      <c r="I513" s="10">
        <f t="shared" ca="1" si="39"/>
        <v>8100</v>
      </c>
      <c r="J513" s="10">
        <f ca="1">Table2[[#This Row],[Unit Price]] * RANDBETWEEN(70,90)/100</f>
        <v>216</v>
      </c>
      <c r="K513" s="12">
        <f ca="1">(Table2[[#This Row],[Unit Price]] - Table2[[#This Row],[Cost per Unit]]) * Table2[[#This Row],[Units Sold]]</f>
        <v>2268</v>
      </c>
    </row>
    <row r="514" spans="1:11" ht="15.6" x14ac:dyDescent="0.3">
      <c r="A514" s="5" cm="1">
        <f t="array" ref="A514">1000 + ROW(514:514)</f>
        <v>1514</v>
      </c>
      <c r="B514" s="6">
        <f t="shared" ref="B514:B577" ca="1" si="40">RANDBETWEEN(DATE(2024,1,1), DATE(2024,3,31))</f>
        <v>45340</v>
      </c>
      <c r="C514" s="5" t="str" cm="1">
        <f t="array" aca="1" ref="C514" ca="1">INDEX({"S001","S002","S003","S004","S005"}, RANDBETWEEN(1,5))</f>
        <v>S001</v>
      </c>
      <c r="D514" s="5" t="str" cm="1">
        <f t="array" aca="1" ref="D514" ca="1">INDEX({"Mumbai","Delhi","Bangalore","Ahmedabad","Chennai"}, RANDBETWEEN(1,5))</f>
        <v>Bangalore</v>
      </c>
      <c r="E514" s="5" t="str" cm="1">
        <f t="array" aca="1" ref="E514" ca="1">INDEX({"Electronics","Groceries","Furniture","Clothing","Stationery"}, RANDBETWEEN(1,5))</f>
        <v>Furniture</v>
      </c>
      <c r="F514" s="5" t="str">
        <f t="shared" ref="F514:F577" ca="1" si="41">CHOOSE(RANDBETWEEN(1,10),
 "Smartphone","Laptop","Rice 5kg","Cooking Oil 1L",
 "Office Chair","Table","T-shirt","Notebook",
 "Desk Lamp","Shampoo")</f>
        <v>Notebook</v>
      </c>
      <c r="G514" s="8">
        <f t="shared" ref="G514:G577" ca="1" si="42">RANDBETWEEN(1,100)</f>
        <v>22</v>
      </c>
      <c r="H514" s="10">
        <f t="shared" ref="H514:H577" ca="1" si="43">CHOOSE(RANDBETWEEN(1,10), 15000, 30000, 250, 500, 1200, 700, 300, 50, 900, 150)</f>
        <v>150</v>
      </c>
      <c r="I514" s="10">
        <f t="shared" ref="I514:I577" ca="1" si="44">G514 * H514</f>
        <v>3300</v>
      </c>
      <c r="J514" s="10">
        <f ca="1">Table2[[#This Row],[Unit Price]] * RANDBETWEEN(70,90)/100</f>
        <v>127.5</v>
      </c>
      <c r="K514" s="12">
        <f ca="1">(Table2[[#This Row],[Unit Price]] - Table2[[#This Row],[Cost per Unit]]) * Table2[[#This Row],[Units Sold]]</f>
        <v>495</v>
      </c>
    </row>
    <row r="515" spans="1:11" ht="15.6" x14ac:dyDescent="0.3">
      <c r="A515" s="5" cm="1">
        <f t="array" ref="A515">1000 + ROW(515:515)</f>
        <v>1515</v>
      </c>
      <c r="B515" s="6">
        <f t="shared" ca="1" si="40"/>
        <v>45373</v>
      </c>
      <c r="C515" s="5" t="str" cm="1">
        <f t="array" aca="1" ref="C515" ca="1">INDEX({"S001","S002","S003","S004","S005"}, RANDBETWEEN(1,5))</f>
        <v>S001</v>
      </c>
      <c r="D515" s="5" t="str" cm="1">
        <f t="array" aca="1" ref="D515" ca="1">INDEX({"Mumbai","Delhi","Bangalore","Ahmedabad","Chennai"}, RANDBETWEEN(1,5))</f>
        <v>Delhi</v>
      </c>
      <c r="E515" s="5" t="str" cm="1">
        <f t="array" aca="1" ref="E515" ca="1">INDEX({"Electronics","Groceries","Furniture","Clothing","Stationery"}, RANDBETWEEN(1,5))</f>
        <v>Groceries</v>
      </c>
      <c r="F515" s="5" t="str">
        <f t="shared" ca="1" si="41"/>
        <v>Laptop</v>
      </c>
      <c r="G515" s="8">
        <f t="shared" ca="1" si="42"/>
        <v>88</v>
      </c>
      <c r="H515" s="10">
        <f t="shared" ca="1" si="43"/>
        <v>500</v>
      </c>
      <c r="I515" s="10">
        <f t="shared" ca="1" si="44"/>
        <v>44000</v>
      </c>
      <c r="J515" s="10">
        <f ca="1">Table2[[#This Row],[Unit Price]] * RANDBETWEEN(70,90)/100</f>
        <v>420</v>
      </c>
      <c r="K515" s="12">
        <f ca="1">(Table2[[#This Row],[Unit Price]] - Table2[[#This Row],[Cost per Unit]]) * Table2[[#This Row],[Units Sold]]</f>
        <v>7040</v>
      </c>
    </row>
    <row r="516" spans="1:11" ht="15.6" x14ac:dyDescent="0.3">
      <c r="A516" s="5" cm="1">
        <f t="array" ref="A516">1000 + ROW(516:516)</f>
        <v>1516</v>
      </c>
      <c r="B516" s="6">
        <f t="shared" ca="1" si="40"/>
        <v>45376</v>
      </c>
      <c r="C516" s="5" t="str" cm="1">
        <f t="array" aca="1" ref="C516" ca="1">INDEX({"S001","S002","S003","S004","S005"}, RANDBETWEEN(1,5))</f>
        <v>S001</v>
      </c>
      <c r="D516" s="5" t="str" cm="1">
        <f t="array" aca="1" ref="D516" ca="1">INDEX({"Mumbai","Delhi","Bangalore","Ahmedabad","Chennai"}, RANDBETWEEN(1,5))</f>
        <v>Mumbai</v>
      </c>
      <c r="E516" s="5" t="str" cm="1">
        <f t="array" aca="1" ref="E516" ca="1">INDEX({"Electronics","Groceries","Furniture","Clothing","Stationery"}, RANDBETWEEN(1,5))</f>
        <v>Clothing</v>
      </c>
      <c r="F516" s="5" t="str">
        <f t="shared" ca="1" si="41"/>
        <v>Table</v>
      </c>
      <c r="G516" s="8">
        <f t="shared" ca="1" si="42"/>
        <v>34</v>
      </c>
      <c r="H516" s="10">
        <f t="shared" ca="1" si="43"/>
        <v>300</v>
      </c>
      <c r="I516" s="10">
        <f t="shared" ca="1" si="44"/>
        <v>10200</v>
      </c>
      <c r="J516" s="10">
        <f ca="1">Table2[[#This Row],[Unit Price]] * RANDBETWEEN(70,90)/100</f>
        <v>216</v>
      </c>
      <c r="K516" s="12">
        <f ca="1">(Table2[[#This Row],[Unit Price]] - Table2[[#This Row],[Cost per Unit]]) * Table2[[#This Row],[Units Sold]]</f>
        <v>2856</v>
      </c>
    </row>
    <row r="517" spans="1:11" ht="15.6" x14ac:dyDescent="0.3">
      <c r="A517" s="5" cm="1">
        <f t="array" ref="A517">1000 + ROW(517:517)</f>
        <v>1517</v>
      </c>
      <c r="B517" s="6">
        <f t="shared" ca="1" si="40"/>
        <v>45300</v>
      </c>
      <c r="C517" s="5" t="str" cm="1">
        <f t="array" aca="1" ref="C517" ca="1">INDEX({"S001","S002","S003","S004","S005"}, RANDBETWEEN(1,5))</f>
        <v>S003</v>
      </c>
      <c r="D517" s="5" t="str" cm="1">
        <f t="array" aca="1" ref="D517" ca="1">INDEX({"Mumbai","Delhi","Bangalore","Ahmedabad","Chennai"}, RANDBETWEEN(1,5))</f>
        <v>Chennai</v>
      </c>
      <c r="E517" s="5" t="str" cm="1">
        <f t="array" aca="1" ref="E517" ca="1">INDEX({"Electronics","Groceries","Furniture","Clothing","Stationery"}, RANDBETWEEN(1,5))</f>
        <v>Stationery</v>
      </c>
      <c r="F517" s="5" t="str">
        <f t="shared" ca="1" si="41"/>
        <v>Cooking Oil 1L</v>
      </c>
      <c r="G517" s="8">
        <f t="shared" ca="1" si="42"/>
        <v>33</v>
      </c>
      <c r="H517" s="10">
        <f t="shared" ca="1" si="43"/>
        <v>1200</v>
      </c>
      <c r="I517" s="10">
        <f t="shared" ca="1" si="44"/>
        <v>39600</v>
      </c>
      <c r="J517" s="10">
        <f ca="1">Table2[[#This Row],[Unit Price]] * RANDBETWEEN(70,90)/100</f>
        <v>936</v>
      </c>
      <c r="K517" s="12">
        <f ca="1">(Table2[[#This Row],[Unit Price]] - Table2[[#This Row],[Cost per Unit]]) * Table2[[#This Row],[Units Sold]]</f>
        <v>8712</v>
      </c>
    </row>
    <row r="518" spans="1:11" ht="15.6" x14ac:dyDescent="0.3">
      <c r="A518" s="5" cm="1">
        <f t="array" ref="A518">1000 + ROW(518:518)</f>
        <v>1518</v>
      </c>
      <c r="B518" s="6">
        <f t="shared" ca="1" si="40"/>
        <v>45321</v>
      </c>
      <c r="C518" s="5" t="str" cm="1">
        <f t="array" aca="1" ref="C518" ca="1">INDEX({"S001","S002","S003","S004","S005"}, RANDBETWEEN(1,5))</f>
        <v>S005</v>
      </c>
      <c r="D518" s="5" t="str" cm="1">
        <f t="array" aca="1" ref="D518" ca="1">INDEX({"Mumbai","Delhi","Bangalore","Ahmedabad","Chennai"}, RANDBETWEEN(1,5))</f>
        <v>Ahmedabad</v>
      </c>
      <c r="E518" s="5" t="str" cm="1">
        <f t="array" aca="1" ref="E518" ca="1">INDEX({"Electronics","Groceries","Furniture","Clothing","Stationery"}, RANDBETWEEN(1,5))</f>
        <v>Groceries</v>
      </c>
      <c r="F518" s="5" t="str">
        <f t="shared" ca="1" si="41"/>
        <v>Smartphone</v>
      </c>
      <c r="G518" s="8">
        <f t="shared" ca="1" si="42"/>
        <v>18</v>
      </c>
      <c r="H518" s="10">
        <f t="shared" ca="1" si="43"/>
        <v>1200</v>
      </c>
      <c r="I518" s="10">
        <f t="shared" ca="1" si="44"/>
        <v>21600</v>
      </c>
      <c r="J518" s="10">
        <f ca="1">Table2[[#This Row],[Unit Price]] * RANDBETWEEN(70,90)/100</f>
        <v>996</v>
      </c>
      <c r="K518" s="12">
        <f ca="1">(Table2[[#This Row],[Unit Price]] - Table2[[#This Row],[Cost per Unit]]) * Table2[[#This Row],[Units Sold]]</f>
        <v>3672</v>
      </c>
    </row>
    <row r="519" spans="1:11" ht="15.6" x14ac:dyDescent="0.3">
      <c r="A519" s="5" cm="1">
        <f t="array" ref="A519">1000 + ROW(519:519)</f>
        <v>1519</v>
      </c>
      <c r="B519" s="6">
        <f t="shared" ca="1" si="40"/>
        <v>45345</v>
      </c>
      <c r="C519" s="5" t="str" cm="1">
        <f t="array" aca="1" ref="C519" ca="1">INDEX({"S001","S002","S003","S004","S005"}, RANDBETWEEN(1,5))</f>
        <v>S002</v>
      </c>
      <c r="D519" s="5" t="str" cm="1">
        <f t="array" aca="1" ref="D519" ca="1">INDEX({"Mumbai","Delhi","Bangalore","Ahmedabad","Chennai"}, RANDBETWEEN(1,5))</f>
        <v>Ahmedabad</v>
      </c>
      <c r="E519" s="5" t="str" cm="1">
        <f t="array" aca="1" ref="E519" ca="1">INDEX({"Electronics","Groceries","Furniture","Clothing","Stationery"}, RANDBETWEEN(1,5))</f>
        <v>Groceries</v>
      </c>
      <c r="F519" s="5" t="str">
        <f t="shared" ca="1" si="41"/>
        <v>Shampoo</v>
      </c>
      <c r="G519" s="8">
        <f t="shared" ca="1" si="42"/>
        <v>89</v>
      </c>
      <c r="H519" s="10">
        <f t="shared" ca="1" si="43"/>
        <v>500</v>
      </c>
      <c r="I519" s="10">
        <f t="shared" ca="1" si="44"/>
        <v>44500</v>
      </c>
      <c r="J519" s="10">
        <f ca="1">Table2[[#This Row],[Unit Price]] * RANDBETWEEN(70,90)/100</f>
        <v>380</v>
      </c>
      <c r="K519" s="12">
        <f ca="1">(Table2[[#This Row],[Unit Price]] - Table2[[#This Row],[Cost per Unit]]) * Table2[[#This Row],[Units Sold]]</f>
        <v>10680</v>
      </c>
    </row>
    <row r="520" spans="1:11" ht="15.6" x14ac:dyDescent="0.3">
      <c r="A520" s="5" cm="1">
        <f t="array" ref="A520">1000 + ROW(520:520)</f>
        <v>1520</v>
      </c>
      <c r="B520" s="6">
        <f t="shared" ca="1" si="40"/>
        <v>45361</v>
      </c>
      <c r="C520" s="5" t="str" cm="1">
        <f t="array" aca="1" ref="C520" ca="1">INDEX({"S001","S002","S003","S004","S005"}, RANDBETWEEN(1,5))</f>
        <v>S004</v>
      </c>
      <c r="D520" s="5" t="str" cm="1">
        <f t="array" aca="1" ref="D520" ca="1">INDEX({"Mumbai","Delhi","Bangalore","Ahmedabad","Chennai"}, RANDBETWEEN(1,5))</f>
        <v>Mumbai</v>
      </c>
      <c r="E520" s="5" t="str" cm="1">
        <f t="array" aca="1" ref="E520" ca="1">INDEX({"Electronics","Groceries","Furniture","Clothing","Stationery"}, RANDBETWEEN(1,5))</f>
        <v>Furniture</v>
      </c>
      <c r="F520" s="5" t="str">
        <f t="shared" ca="1" si="41"/>
        <v>Laptop</v>
      </c>
      <c r="G520" s="8">
        <f t="shared" ca="1" si="42"/>
        <v>21</v>
      </c>
      <c r="H520" s="10">
        <f t="shared" ca="1" si="43"/>
        <v>50</v>
      </c>
      <c r="I520" s="10">
        <f t="shared" ca="1" si="44"/>
        <v>1050</v>
      </c>
      <c r="J520" s="10">
        <f ca="1">Table2[[#This Row],[Unit Price]] * RANDBETWEEN(70,90)/100</f>
        <v>45</v>
      </c>
      <c r="K520" s="12">
        <f ca="1">(Table2[[#This Row],[Unit Price]] - Table2[[#This Row],[Cost per Unit]]) * Table2[[#This Row],[Units Sold]]</f>
        <v>105</v>
      </c>
    </row>
    <row r="521" spans="1:11" ht="15.6" x14ac:dyDescent="0.3">
      <c r="A521" s="5" cm="1">
        <f t="array" ref="A521">1000 + ROW(521:521)</f>
        <v>1521</v>
      </c>
      <c r="B521" s="6">
        <f t="shared" ca="1" si="40"/>
        <v>45354</v>
      </c>
      <c r="C521" s="5" t="str" cm="1">
        <f t="array" aca="1" ref="C521" ca="1">INDEX({"S001","S002","S003","S004","S005"}, RANDBETWEEN(1,5))</f>
        <v>S004</v>
      </c>
      <c r="D521" s="5" t="str" cm="1">
        <f t="array" aca="1" ref="D521" ca="1">INDEX({"Mumbai","Delhi","Bangalore","Ahmedabad","Chennai"}, RANDBETWEEN(1,5))</f>
        <v>Bangalore</v>
      </c>
      <c r="E521" s="5" t="str" cm="1">
        <f t="array" aca="1" ref="E521" ca="1">INDEX({"Electronics","Groceries","Furniture","Clothing","Stationery"}, RANDBETWEEN(1,5))</f>
        <v>Electronics</v>
      </c>
      <c r="F521" s="5" t="str">
        <f t="shared" ca="1" si="41"/>
        <v>Desk Lamp</v>
      </c>
      <c r="G521" s="8">
        <f t="shared" ca="1" si="42"/>
        <v>64</v>
      </c>
      <c r="H521" s="10">
        <f t="shared" ca="1" si="43"/>
        <v>30000</v>
      </c>
      <c r="I521" s="10">
        <f t="shared" ca="1" si="44"/>
        <v>1920000</v>
      </c>
      <c r="J521" s="10">
        <f ca="1">Table2[[#This Row],[Unit Price]] * RANDBETWEEN(70,90)/100</f>
        <v>24900</v>
      </c>
      <c r="K521" s="12">
        <f ca="1">(Table2[[#This Row],[Unit Price]] - Table2[[#This Row],[Cost per Unit]]) * Table2[[#This Row],[Units Sold]]</f>
        <v>326400</v>
      </c>
    </row>
    <row r="522" spans="1:11" ht="15.6" x14ac:dyDescent="0.3">
      <c r="A522" s="5" cm="1">
        <f t="array" ref="A522">1000 + ROW(522:522)</f>
        <v>1522</v>
      </c>
      <c r="B522" s="6">
        <f t="shared" ca="1" si="40"/>
        <v>45340</v>
      </c>
      <c r="C522" s="5" t="str" cm="1">
        <f t="array" aca="1" ref="C522" ca="1">INDEX({"S001","S002","S003","S004","S005"}, RANDBETWEEN(1,5))</f>
        <v>S003</v>
      </c>
      <c r="D522" s="5" t="str" cm="1">
        <f t="array" aca="1" ref="D522" ca="1">INDEX({"Mumbai","Delhi","Bangalore","Ahmedabad","Chennai"}, RANDBETWEEN(1,5))</f>
        <v>Ahmedabad</v>
      </c>
      <c r="E522" s="5" t="str" cm="1">
        <f t="array" aca="1" ref="E522" ca="1">INDEX({"Electronics","Groceries","Furniture","Clothing","Stationery"}, RANDBETWEEN(1,5))</f>
        <v>Stationery</v>
      </c>
      <c r="F522" s="5" t="str">
        <f t="shared" ca="1" si="41"/>
        <v>Cooking Oil 1L</v>
      </c>
      <c r="G522" s="8">
        <f t="shared" ca="1" si="42"/>
        <v>35</v>
      </c>
      <c r="H522" s="10">
        <f t="shared" ca="1" si="43"/>
        <v>250</v>
      </c>
      <c r="I522" s="10">
        <f t="shared" ca="1" si="44"/>
        <v>8750</v>
      </c>
      <c r="J522" s="10">
        <f ca="1">Table2[[#This Row],[Unit Price]] * RANDBETWEEN(70,90)/100</f>
        <v>215</v>
      </c>
      <c r="K522" s="12">
        <f ca="1">(Table2[[#This Row],[Unit Price]] - Table2[[#This Row],[Cost per Unit]]) * Table2[[#This Row],[Units Sold]]</f>
        <v>1225</v>
      </c>
    </row>
    <row r="523" spans="1:11" ht="15.6" x14ac:dyDescent="0.3">
      <c r="A523" s="5" cm="1">
        <f t="array" ref="A523">1000 + ROW(523:523)</f>
        <v>1523</v>
      </c>
      <c r="B523" s="6">
        <f t="shared" ca="1" si="40"/>
        <v>45297</v>
      </c>
      <c r="C523" s="5" t="str" cm="1">
        <f t="array" aca="1" ref="C523" ca="1">INDEX({"S001","S002","S003","S004","S005"}, RANDBETWEEN(1,5))</f>
        <v>S005</v>
      </c>
      <c r="D523" s="5" t="str" cm="1">
        <f t="array" aca="1" ref="D523" ca="1">INDEX({"Mumbai","Delhi","Bangalore","Ahmedabad","Chennai"}, RANDBETWEEN(1,5))</f>
        <v>Bangalore</v>
      </c>
      <c r="E523" s="5" t="str" cm="1">
        <f t="array" aca="1" ref="E523" ca="1">INDEX({"Electronics","Groceries","Furniture","Clothing","Stationery"}, RANDBETWEEN(1,5))</f>
        <v>Electronics</v>
      </c>
      <c r="F523" s="5" t="str">
        <f t="shared" ca="1" si="41"/>
        <v>Laptop</v>
      </c>
      <c r="G523" s="8">
        <f t="shared" ca="1" si="42"/>
        <v>42</v>
      </c>
      <c r="H523" s="10">
        <f t="shared" ca="1" si="43"/>
        <v>700</v>
      </c>
      <c r="I523" s="10">
        <f t="shared" ca="1" si="44"/>
        <v>29400</v>
      </c>
      <c r="J523" s="10">
        <f ca="1">Table2[[#This Row],[Unit Price]] * RANDBETWEEN(70,90)/100</f>
        <v>518</v>
      </c>
      <c r="K523" s="12">
        <f ca="1">(Table2[[#This Row],[Unit Price]] - Table2[[#This Row],[Cost per Unit]]) * Table2[[#This Row],[Units Sold]]</f>
        <v>7644</v>
      </c>
    </row>
    <row r="524" spans="1:11" ht="15.6" x14ac:dyDescent="0.3">
      <c r="A524" s="5" cm="1">
        <f t="array" ref="A524">1000 + ROW(524:524)</f>
        <v>1524</v>
      </c>
      <c r="B524" s="6">
        <f t="shared" ca="1" si="40"/>
        <v>45310</v>
      </c>
      <c r="C524" s="5" t="str" cm="1">
        <f t="array" aca="1" ref="C524" ca="1">INDEX({"S001","S002","S003","S004","S005"}, RANDBETWEEN(1,5))</f>
        <v>S001</v>
      </c>
      <c r="D524" s="5" t="str" cm="1">
        <f t="array" aca="1" ref="D524" ca="1">INDEX({"Mumbai","Delhi","Bangalore","Ahmedabad","Chennai"}, RANDBETWEEN(1,5))</f>
        <v>Bangalore</v>
      </c>
      <c r="E524" s="5" t="str" cm="1">
        <f t="array" aca="1" ref="E524" ca="1">INDEX({"Electronics","Groceries","Furniture","Clothing","Stationery"}, RANDBETWEEN(1,5))</f>
        <v>Stationery</v>
      </c>
      <c r="F524" s="5" t="str">
        <f t="shared" ca="1" si="41"/>
        <v>Smartphone</v>
      </c>
      <c r="G524" s="8">
        <f t="shared" ca="1" si="42"/>
        <v>74</v>
      </c>
      <c r="H524" s="10">
        <f t="shared" ca="1" si="43"/>
        <v>900</v>
      </c>
      <c r="I524" s="10">
        <f t="shared" ca="1" si="44"/>
        <v>66600</v>
      </c>
      <c r="J524" s="10">
        <f ca="1">Table2[[#This Row],[Unit Price]] * RANDBETWEEN(70,90)/100</f>
        <v>639</v>
      </c>
      <c r="K524" s="12">
        <f ca="1">(Table2[[#This Row],[Unit Price]] - Table2[[#This Row],[Cost per Unit]]) * Table2[[#This Row],[Units Sold]]</f>
        <v>19314</v>
      </c>
    </row>
    <row r="525" spans="1:11" ht="15.6" x14ac:dyDescent="0.3">
      <c r="A525" s="5" cm="1">
        <f t="array" ref="A525">1000 + ROW(525:525)</f>
        <v>1525</v>
      </c>
      <c r="B525" s="6">
        <f t="shared" ca="1" si="40"/>
        <v>45299</v>
      </c>
      <c r="C525" s="5" t="str" cm="1">
        <f t="array" aca="1" ref="C525" ca="1">INDEX({"S001","S002","S003","S004","S005"}, RANDBETWEEN(1,5))</f>
        <v>S001</v>
      </c>
      <c r="D525" s="5" t="str" cm="1">
        <f t="array" aca="1" ref="D525" ca="1">INDEX({"Mumbai","Delhi","Bangalore","Ahmedabad","Chennai"}, RANDBETWEEN(1,5))</f>
        <v>Delhi</v>
      </c>
      <c r="E525" s="5" t="str" cm="1">
        <f t="array" aca="1" ref="E525" ca="1">INDEX({"Electronics","Groceries","Furniture","Clothing","Stationery"}, RANDBETWEEN(1,5))</f>
        <v>Clothing</v>
      </c>
      <c r="F525" s="5" t="str">
        <f t="shared" ca="1" si="41"/>
        <v>Table</v>
      </c>
      <c r="G525" s="8">
        <f t="shared" ca="1" si="42"/>
        <v>99</v>
      </c>
      <c r="H525" s="10">
        <f t="shared" ca="1" si="43"/>
        <v>50</v>
      </c>
      <c r="I525" s="10">
        <f t="shared" ca="1" si="44"/>
        <v>4950</v>
      </c>
      <c r="J525" s="10">
        <f ca="1">Table2[[#This Row],[Unit Price]] * RANDBETWEEN(70,90)/100</f>
        <v>38</v>
      </c>
      <c r="K525" s="12">
        <f ca="1">(Table2[[#This Row],[Unit Price]] - Table2[[#This Row],[Cost per Unit]]) * Table2[[#This Row],[Units Sold]]</f>
        <v>1188</v>
      </c>
    </row>
    <row r="526" spans="1:11" ht="15.6" x14ac:dyDescent="0.3">
      <c r="A526" s="5" cm="1">
        <f t="array" ref="A526">1000 + ROW(526:526)</f>
        <v>1526</v>
      </c>
      <c r="B526" s="6">
        <f t="shared" ca="1" si="40"/>
        <v>45338</v>
      </c>
      <c r="C526" s="5" t="str" cm="1">
        <f t="array" aca="1" ref="C526" ca="1">INDEX({"S001","S002","S003","S004","S005"}, RANDBETWEEN(1,5))</f>
        <v>S003</v>
      </c>
      <c r="D526" s="5" t="str" cm="1">
        <f t="array" aca="1" ref="D526" ca="1">INDEX({"Mumbai","Delhi","Bangalore","Ahmedabad","Chennai"}, RANDBETWEEN(1,5))</f>
        <v>Chennai</v>
      </c>
      <c r="E526" s="5" t="str" cm="1">
        <f t="array" aca="1" ref="E526" ca="1">INDEX({"Electronics","Groceries","Furniture","Clothing","Stationery"}, RANDBETWEEN(1,5))</f>
        <v>Electronics</v>
      </c>
      <c r="F526" s="5" t="str">
        <f t="shared" ca="1" si="41"/>
        <v>Office Chair</v>
      </c>
      <c r="G526" s="8">
        <f t="shared" ca="1" si="42"/>
        <v>79</v>
      </c>
      <c r="H526" s="10">
        <f t="shared" ca="1" si="43"/>
        <v>300</v>
      </c>
      <c r="I526" s="10">
        <f t="shared" ca="1" si="44"/>
        <v>23700</v>
      </c>
      <c r="J526" s="10">
        <f ca="1">Table2[[#This Row],[Unit Price]] * RANDBETWEEN(70,90)/100</f>
        <v>231</v>
      </c>
      <c r="K526" s="12">
        <f ca="1">(Table2[[#This Row],[Unit Price]] - Table2[[#This Row],[Cost per Unit]]) * Table2[[#This Row],[Units Sold]]</f>
        <v>5451</v>
      </c>
    </row>
    <row r="527" spans="1:11" ht="15.6" x14ac:dyDescent="0.3">
      <c r="A527" s="5" cm="1">
        <f t="array" ref="A527">1000 + ROW(527:527)</f>
        <v>1527</v>
      </c>
      <c r="B527" s="6">
        <f t="shared" ca="1" si="40"/>
        <v>45359</v>
      </c>
      <c r="C527" s="5" t="str" cm="1">
        <f t="array" aca="1" ref="C527" ca="1">INDEX({"S001","S002","S003","S004","S005"}, RANDBETWEEN(1,5))</f>
        <v>S004</v>
      </c>
      <c r="D527" s="5" t="str" cm="1">
        <f t="array" aca="1" ref="D527" ca="1">INDEX({"Mumbai","Delhi","Bangalore","Ahmedabad","Chennai"}, RANDBETWEEN(1,5))</f>
        <v>Mumbai</v>
      </c>
      <c r="E527" s="5" t="str" cm="1">
        <f t="array" aca="1" ref="E527" ca="1">INDEX({"Electronics","Groceries","Furniture","Clothing","Stationery"}, RANDBETWEEN(1,5))</f>
        <v>Groceries</v>
      </c>
      <c r="F527" s="5" t="str">
        <f t="shared" ca="1" si="41"/>
        <v>Cooking Oil 1L</v>
      </c>
      <c r="G527" s="8">
        <f t="shared" ca="1" si="42"/>
        <v>84</v>
      </c>
      <c r="H527" s="10">
        <f t="shared" ca="1" si="43"/>
        <v>150</v>
      </c>
      <c r="I527" s="10">
        <f t="shared" ca="1" si="44"/>
        <v>12600</v>
      </c>
      <c r="J527" s="10">
        <f ca="1">Table2[[#This Row],[Unit Price]] * RANDBETWEEN(70,90)/100</f>
        <v>111</v>
      </c>
      <c r="K527" s="12">
        <f ca="1">(Table2[[#This Row],[Unit Price]] - Table2[[#This Row],[Cost per Unit]]) * Table2[[#This Row],[Units Sold]]</f>
        <v>3276</v>
      </c>
    </row>
    <row r="528" spans="1:11" ht="15.6" x14ac:dyDescent="0.3">
      <c r="A528" s="5" cm="1">
        <f t="array" ref="A528">1000 + ROW(528:528)</f>
        <v>1528</v>
      </c>
      <c r="B528" s="6">
        <f t="shared" ca="1" si="40"/>
        <v>45308</v>
      </c>
      <c r="C528" s="5" t="str" cm="1">
        <f t="array" aca="1" ref="C528" ca="1">INDEX({"S001","S002","S003","S004","S005"}, RANDBETWEEN(1,5))</f>
        <v>S005</v>
      </c>
      <c r="D528" s="5" t="str" cm="1">
        <f t="array" aca="1" ref="D528" ca="1">INDEX({"Mumbai","Delhi","Bangalore","Ahmedabad","Chennai"}, RANDBETWEEN(1,5))</f>
        <v>Chennai</v>
      </c>
      <c r="E528" s="5" t="str" cm="1">
        <f t="array" aca="1" ref="E528" ca="1">INDEX({"Electronics","Groceries","Furniture","Clothing","Stationery"}, RANDBETWEEN(1,5))</f>
        <v>Clothing</v>
      </c>
      <c r="F528" s="5" t="str">
        <f t="shared" ca="1" si="41"/>
        <v>Table</v>
      </c>
      <c r="G528" s="8">
        <f t="shared" ca="1" si="42"/>
        <v>23</v>
      </c>
      <c r="H528" s="10">
        <f t="shared" ca="1" si="43"/>
        <v>50</v>
      </c>
      <c r="I528" s="10">
        <f t="shared" ca="1" si="44"/>
        <v>1150</v>
      </c>
      <c r="J528" s="10">
        <f ca="1">Table2[[#This Row],[Unit Price]] * RANDBETWEEN(70,90)/100</f>
        <v>36</v>
      </c>
      <c r="K528" s="12">
        <f ca="1">(Table2[[#This Row],[Unit Price]] - Table2[[#This Row],[Cost per Unit]]) * Table2[[#This Row],[Units Sold]]</f>
        <v>322</v>
      </c>
    </row>
    <row r="529" spans="1:11" ht="15.6" x14ac:dyDescent="0.3">
      <c r="A529" s="5" cm="1">
        <f t="array" ref="A529">1000 + ROW(529:529)</f>
        <v>1529</v>
      </c>
      <c r="B529" s="6">
        <f t="shared" ca="1" si="40"/>
        <v>45338</v>
      </c>
      <c r="C529" s="5" t="str" cm="1">
        <f t="array" aca="1" ref="C529" ca="1">INDEX({"S001","S002","S003","S004","S005"}, RANDBETWEEN(1,5))</f>
        <v>S004</v>
      </c>
      <c r="D529" s="5" t="str" cm="1">
        <f t="array" aca="1" ref="D529" ca="1">INDEX({"Mumbai","Delhi","Bangalore","Ahmedabad","Chennai"}, RANDBETWEEN(1,5))</f>
        <v>Chennai</v>
      </c>
      <c r="E529" s="5" t="str" cm="1">
        <f t="array" aca="1" ref="E529" ca="1">INDEX({"Electronics","Groceries","Furniture","Clothing","Stationery"}, RANDBETWEEN(1,5))</f>
        <v>Clothing</v>
      </c>
      <c r="F529" s="5" t="str">
        <f t="shared" ca="1" si="41"/>
        <v>Smartphone</v>
      </c>
      <c r="G529" s="8">
        <f t="shared" ca="1" si="42"/>
        <v>69</v>
      </c>
      <c r="H529" s="10">
        <f t="shared" ca="1" si="43"/>
        <v>50</v>
      </c>
      <c r="I529" s="10">
        <f t="shared" ca="1" si="44"/>
        <v>3450</v>
      </c>
      <c r="J529" s="10">
        <f ca="1">Table2[[#This Row],[Unit Price]] * RANDBETWEEN(70,90)/100</f>
        <v>42.5</v>
      </c>
      <c r="K529" s="12">
        <f ca="1">(Table2[[#This Row],[Unit Price]] - Table2[[#This Row],[Cost per Unit]]) * Table2[[#This Row],[Units Sold]]</f>
        <v>517.5</v>
      </c>
    </row>
    <row r="530" spans="1:11" ht="15.6" x14ac:dyDescent="0.3">
      <c r="A530" s="5" cm="1">
        <f t="array" ref="A530">1000 + ROW(530:530)</f>
        <v>1530</v>
      </c>
      <c r="B530" s="6">
        <f t="shared" ca="1" si="40"/>
        <v>45344</v>
      </c>
      <c r="C530" s="5" t="str" cm="1">
        <f t="array" aca="1" ref="C530" ca="1">INDEX({"S001","S002","S003","S004","S005"}, RANDBETWEEN(1,5))</f>
        <v>S002</v>
      </c>
      <c r="D530" s="5" t="str" cm="1">
        <f t="array" aca="1" ref="D530" ca="1">INDEX({"Mumbai","Delhi","Bangalore","Ahmedabad","Chennai"}, RANDBETWEEN(1,5))</f>
        <v>Chennai</v>
      </c>
      <c r="E530" s="5" t="str" cm="1">
        <f t="array" aca="1" ref="E530" ca="1">INDEX({"Electronics","Groceries","Furniture","Clothing","Stationery"}, RANDBETWEEN(1,5))</f>
        <v>Clothing</v>
      </c>
      <c r="F530" s="5" t="str">
        <f t="shared" ca="1" si="41"/>
        <v>Office Chair</v>
      </c>
      <c r="G530" s="8">
        <f t="shared" ca="1" si="42"/>
        <v>40</v>
      </c>
      <c r="H530" s="10">
        <f t="shared" ca="1" si="43"/>
        <v>150</v>
      </c>
      <c r="I530" s="10">
        <f t="shared" ca="1" si="44"/>
        <v>6000</v>
      </c>
      <c r="J530" s="10">
        <f ca="1">Table2[[#This Row],[Unit Price]] * RANDBETWEEN(70,90)/100</f>
        <v>120</v>
      </c>
      <c r="K530" s="12">
        <f ca="1">(Table2[[#This Row],[Unit Price]] - Table2[[#This Row],[Cost per Unit]]) * Table2[[#This Row],[Units Sold]]</f>
        <v>1200</v>
      </c>
    </row>
    <row r="531" spans="1:11" ht="15.6" x14ac:dyDescent="0.3">
      <c r="A531" s="5" cm="1">
        <f t="array" ref="A531">1000 + ROW(531:531)</f>
        <v>1531</v>
      </c>
      <c r="B531" s="6">
        <f t="shared" ca="1" si="40"/>
        <v>45344</v>
      </c>
      <c r="C531" s="5" t="str" cm="1">
        <f t="array" aca="1" ref="C531" ca="1">INDEX({"S001","S002","S003","S004","S005"}, RANDBETWEEN(1,5))</f>
        <v>S003</v>
      </c>
      <c r="D531" s="5" t="str" cm="1">
        <f t="array" aca="1" ref="D531" ca="1">INDEX({"Mumbai","Delhi","Bangalore","Ahmedabad","Chennai"}, RANDBETWEEN(1,5))</f>
        <v>Bangalore</v>
      </c>
      <c r="E531" s="5" t="str" cm="1">
        <f t="array" aca="1" ref="E531" ca="1">INDEX({"Electronics","Groceries","Furniture","Clothing","Stationery"}, RANDBETWEEN(1,5))</f>
        <v>Furniture</v>
      </c>
      <c r="F531" s="5" t="str">
        <f t="shared" ca="1" si="41"/>
        <v>Laptop</v>
      </c>
      <c r="G531" s="8">
        <f t="shared" ca="1" si="42"/>
        <v>91</v>
      </c>
      <c r="H531" s="10">
        <f t="shared" ca="1" si="43"/>
        <v>700</v>
      </c>
      <c r="I531" s="10">
        <f t="shared" ca="1" si="44"/>
        <v>63700</v>
      </c>
      <c r="J531" s="10">
        <f ca="1">Table2[[#This Row],[Unit Price]] * RANDBETWEEN(70,90)/100</f>
        <v>623</v>
      </c>
      <c r="K531" s="12">
        <f ca="1">(Table2[[#This Row],[Unit Price]] - Table2[[#This Row],[Cost per Unit]]) * Table2[[#This Row],[Units Sold]]</f>
        <v>7007</v>
      </c>
    </row>
    <row r="532" spans="1:11" ht="15.6" x14ac:dyDescent="0.3">
      <c r="A532" s="5" cm="1">
        <f t="array" ref="A532">1000 + ROW(532:532)</f>
        <v>1532</v>
      </c>
      <c r="B532" s="6">
        <f t="shared" ca="1" si="40"/>
        <v>45320</v>
      </c>
      <c r="C532" s="5" t="str" cm="1">
        <f t="array" aca="1" ref="C532" ca="1">INDEX({"S001","S002","S003","S004","S005"}, RANDBETWEEN(1,5))</f>
        <v>S004</v>
      </c>
      <c r="D532" s="5" t="str" cm="1">
        <f t="array" aca="1" ref="D532" ca="1">INDEX({"Mumbai","Delhi","Bangalore","Ahmedabad","Chennai"}, RANDBETWEEN(1,5))</f>
        <v>Chennai</v>
      </c>
      <c r="E532" s="5" t="str" cm="1">
        <f t="array" aca="1" ref="E532" ca="1">INDEX({"Electronics","Groceries","Furniture","Clothing","Stationery"}, RANDBETWEEN(1,5))</f>
        <v>Clothing</v>
      </c>
      <c r="F532" s="5" t="str">
        <f t="shared" ca="1" si="41"/>
        <v>Desk Lamp</v>
      </c>
      <c r="G532" s="8">
        <f t="shared" ca="1" si="42"/>
        <v>88</v>
      </c>
      <c r="H532" s="10">
        <f t="shared" ca="1" si="43"/>
        <v>250</v>
      </c>
      <c r="I532" s="10">
        <f t="shared" ca="1" si="44"/>
        <v>22000</v>
      </c>
      <c r="J532" s="10">
        <f ca="1">Table2[[#This Row],[Unit Price]] * RANDBETWEEN(70,90)/100</f>
        <v>182.5</v>
      </c>
      <c r="K532" s="12">
        <f ca="1">(Table2[[#This Row],[Unit Price]] - Table2[[#This Row],[Cost per Unit]]) * Table2[[#This Row],[Units Sold]]</f>
        <v>5940</v>
      </c>
    </row>
    <row r="533" spans="1:11" ht="15.6" x14ac:dyDescent="0.3">
      <c r="A533" s="5" cm="1">
        <f t="array" ref="A533">1000 + ROW(533:533)</f>
        <v>1533</v>
      </c>
      <c r="B533" s="6">
        <f t="shared" ca="1" si="40"/>
        <v>45336</v>
      </c>
      <c r="C533" s="5" t="str" cm="1">
        <f t="array" aca="1" ref="C533" ca="1">INDEX({"S001","S002","S003","S004","S005"}, RANDBETWEEN(1,5))</f>
        <v>S002</v>
      </c>
      <c r="D533" s="5" t="str" cm="1">
        <f t="array" aca="1" ref="D533" ca="1">INDEX({"Mumbai","Delhi","Bangalore","Ahmedabad","Chennai"}, RANDBETWEEN(1,5))</f>
        <v>Mumbai</v>
      </c>
      <c r="E533" s="5" t="str" cm="1">
        <f t="array" aca="1" ref="E533" ca="1">INDEX({"Electronics","Groceries","Furniture","Clothing","Stationery"}, RANDBETWEEN(1,5))</f>
        <v>Furniture</v>
      </c>
      <c r="F533" s="5" t="str">
        <f t="shared" ca="1" si="41"/>
        <v>Table</v>
      </c>
      <c r="G533" s="8">
        <f t="shared" ca="1" si="42"/>
        <v>95</v>
      </c>
      <c r="H533" s="10">
        <f t="shared" ca="1" si="43"/>
        <v>30000</v>
      </c>
      <c r="I533" s="10">
        <f t="shared" ca="1" si="44"/>
        <v>2850000</v>
      </c>
      <c r="J533" s="10">
        <f ca="1">Table2[[#This Row],[Unit Price]] * RANDBETWEEN(70,90)/100</f>
        <v>23700</v>
      </c>
      <c r="K533" s="12">
        <f ca="1">(Table2[[#This Row],[Unit Price]] - Table2[[#This Row],[Cost per Unit]]) * Table2[[#This Row],[Units Sold]]</f>
        <v>598500</v>
      </c>
    </row>
    <row r="534" spans="1:11" ht="15.6" x14ac:dyDescent="0.3">
      <c r="A534" s="5" cm="1">
        <f t="array" ref="A534">1000 + ROW(534:534)</f>
        <v>1534</v>
      </c>
      <c r="B534" s="6">
        <f t="shared" ca="1" si="40"/>
        <v>45295</v>
      </c>
      <c r="C534" s="5" t="str" cm="1">
        <f t="array" aca="1" ref="C534" ca="1">INDEX({"S001","S002","S003","S004","S005"}, RANDBETWEEN(1,5))</f>
        <v>S004</v>
      </c>
      <c r="D534" s="5" t="str" cm="1">
        <f t="array" aca="1" ref="D534" ca="1">INDEX({"Mumbai","Delhi","Bangalore","Ahmedabad","Chennai"}, RANDBETWEEN(1,5))</f>
        <v>Chennai</v>
      </c>
      <c r="E534" s="5" t="str" cm="1">
        <f t="array" aca="1" ref="E534" ca="1">INDEX({"Electronics","Groceries","Furniture","Clothing","Stationery"}, RANDBETWEEN(1,5))</f>
        <v>Groceries</v>
      </c>
      <c r="F534" s="5" t="str">
        <f t="shared" ca="1" si="41"/>
        <v>Laptop</v>
      </c>
      <c r="G534" s="8">
        <f t="shared" ca="1" si="42"/>
        <v>12</v>
      </c>
      <c r="H534" s="10">
        <f t="shared" ca="1" si="43"/>
        <v>50</v>
      </c>
      <c r="I534" s="10">
        <f t="shared" ca="1" si="44"/>
        <v>600</v>
      </c>
      <c r="J534" s="10">
        <f ca="1">Table2[[#This Row],[Unit Price]] * RANDBETWEEN(70,90)/100</f>
        <v>38.5</v>
      </c>
      <c r="K534" s="12">
        <f ca="1">(Table2[[#This Row],[Unit Price]] - Table2[[#This Row],[Cost per Unit]]) * Table2[[#This Row],[Units Sold]]</f>
        <v>138</v>
      </c>
    </row>
    <row r="535" spans="1:11" ht="15.6" x14ac:dyDescent="0.3">
      <c r="A535" s="5" cm="1">
        <f t="array" ref="A535">1000 + ROW(535:535)</f>
        <v>1535</v>
      </c>
      <c r="B535" s="6">
        <f t="shared" ca="1" si="40"/>
        <v>45318</v>
      </c>
      <c r="C535" s="5" t="str" cm="1">
        <f t="array" aca="1" ref="C535" ca="1">INDEX({"S001","S002","S003","S004","S005"}, RANDBETWEEN(1,5))</f>
        <v>S005</v>
      </c>
      <c r="D535" s="5" t="str" cm="1">
        <f t="array" aca="1" ref="D535" ca="1">INDEX({"Mumbai","Delhi","Bangalore","Ahmedabad","Chennai"}, RANDBETWEEN(1,5))</f>
        <v>Mumbai</v>
      </c>
      <c r="E535" s="5" t="str" cm="1">
        <f t="array" aca="1" ref="E535" ca="1">INDEX({"Electronics","Groceries","Furniture","Clothing","Stationery"}, RANDBETWEEN(1,5))</f>
        <v>Electronics</v>
      </c>
      <c r="F535" s="5" t="str">
        <f t="shared" ca="1" si="41"/>
        <v>Shampoo</v>
      </c>
      <c r="G535" s="8">
        <f t="shared" ca="1" si="42"/>
        <v>43</v>
      </c>
      <c r="H535" s="10">
        <f t="shared" ca="1" si="43"/>
        <v>500</v>
      </c>
      <c r="I535" s="10">
        <f t="shared" ca="1" si="44"/>
        <v>21500</v>
      </c>
      <c r="J535" s="10">
        <f ca="1">Table2[[#This Row],[Unit Price]] * RANDBETWEEN(70,90)/100</f>
        <v>370</v>
      </c>
      <c r="K535" s="12">
        <f ca="1">(Table2[[#This Row],[Unit Price]] - Table2[[#This Row],[Cost per Unit]]) * Table2[[#This Row],[Units Sold]]</f>
        <v>5590</v>
      </c>
    </row>
    <row r="536" spans="1:11" ht="15.6" x14ac:dyDescent="0.3">
      <c r="A536" s="5" cm="1">
        <f t="array" ref="A536">1000 + ROW(536:536)</f>
        <v>1536</v>
      </c>
      <c r="B536" s="6">
        <f t="shared" ca="1" si="40"/>
        <v>45294</v>
      </c>
      <c r="C536" s="5" t="str" cm="1">
        <f t="array" aca="1" ref="C536" ca="1">INDEX({"S001","S002","S003","S004","S005"}, RANDBETWEEN(1,5))</f>
        <v>S001</v>
      </c>
      <c r="D536" s="5" t="str" cm="1">
        <f t="array" aca="1" ref="D536" ca="1">INDEX({"Mumbai","Delhi","Bangalore","Ahmedabad","Chennai"}, RANDBETWEEN(1,5))</f>
        <v>Delhi</v>
      </c>
      <c r="E536" s="5" t="str" cm="1">
        <f t="array" aca="1" ref="E536" ca="1">INDEX({"Electronics","Groceries","Furniture","Clothing","Stationery"}, RANDBETWEEN(1,5))</f>
        <v>Clothing</v>
      </c>
      <c r="F536" s="5" t="str">
        <f t="shared" ca="1" si="41"/>
        <v>Desk Lamp</v>
      </c>
      <c r="G536" s="8">
        <f t="shared" ca="1" si="42"/>
        <v>40</v>
      </c>
      <c r="H536" s="10">
        <f t="shared" ca="1" si="43"/>
        <v>150</v>
      </c>
      <c r="I536" s="10">
        <f t="shared" ca="1" si="44"/>
        <v>6000</v>
      </c>
      <c r="J536" s="10">
        <f ca="1">Table2[[#This Row],[Unit Price]] * RANDBETWEEN(70,90)/100</f>
        <v>115.5</v>
      </c>
      <c r="K536" s="12">
        <f ca="1">(Table2[[#This Row],[Unit Price]] - Table2[[#This Row],[Cost per Unit]]) * Table2[[#This Row],[Units Sold]]</f>
        <v>1380</v>
      </c>
    </row>
    <row r="537" spans="1:11" ht="15.6" x14ac:dyDescent="0.3">
      <c r="A537" s="5" cm="1">
        <f t="array" ref="A537">1000 + ROW(537:537)</f>
        <v>1537</v>
      </c>
      <c r="B537" s="6">
        <f t="shared" ca="1" si="40"/>
        <v>45301</v>
      </c>
      <c r="C537" s="5" t="str" cm="1">
        <f t="array" aca="1" ref="C537" ca="1">INDEX({"S001","S002","S003","S004","S005"}, RANDBETWEEN(1,5))</f>
        <v>S002</v>
      </c>
      <c r="D537" s="5" t="str" cm="1">
        <f t="array" aca="1" ref="D537" ca="1">INDEX({"Mumbai","Delhi","Bangalore","Ahmedabad","Chennai"}, RANDBETWEEN(1,5))</f>
        <v>Ahmedabad</v>
      </c>
      <c r="E537" s="5" t="str" cm="1">
        <f t="array" aca="1" ref="E537" ca="1">INDEX({"Electronics","Groceries","Furniture","Clothing","Stationery"}, RANDBETWEEN(1,5))</f>
        <v>Clothing</v>
      </c>
      <c r="F537" s="5" t="str">
        <f t="shared" ca="1" si="41"/>
        <v>Desk Lamp</v>
      </c>
      <c r="G537" s="8">
        <f t="shared" ca="1" si="42"/>
        <v>91</v>
      </c>
      <c r="H537" s="10">
        <f t="shared" ca="1" si="43"/>
        <v>300</v>
      </c>
      <c r="I537" s="10">
        <f t="shared" ca="1" si="44"/>
        <v>27300</v>
      </c>
      <c r="J537" s="10">
        <f ca="1">Table2[[#This Row],[Unit Price]] * RANDBETWEEN(70,90)/100</f>
        <v>261</v>
      </c>
      <c r="K537" s="12">
        <f ca="1">(Table2[[#This Row],[Unit Price]] - Table2[[#This Row],[Cost per Unit]]) * Table2[[#This Row],[Units Sold]]</f>
        <v>3549</v>
      </c>
    </row>
    <row r="538" spans="1:11" ht="15.6" x14ac:dyDescent="0.3">
      <c r="A538" s="5" cm="1">
        <f t="array" ref="A538">1000 + ROW(538:538)</f>
        <v>1538</v>
      </c>
      <c r="B538" s="6">
        <f t="shared" ca="1" si="40"/>
        <v>45339</v>
      </c>
      <c r="C538" s="5" t="str" cm="1">
        <f t="array" aca="1" ref="C538" ca="1">INDEX({"S001","S002","S003","S004","S005"}, RANDBETWEEN(1,5))</f>
        <v>S003</v>
      </c>
      <c r="D538" s="5" t="str" cm="1">
        <f t="array" aca="1" ref="D538" ca="1">INDEX({"Mumbai","Delhi","Bangalore","Ahmedabad","Chennai"}, RANDBETWEEN(1,5))</f>
        <v>Delhi</v>
      </c>
      <c r="E538" s="5" t="str" cm="1">
        <f t="array" aca="1" ref="E538" ca="1">INDEX({"Electronics","Groceries","Furniture","Clothing","Stationery"}, RANDBETWEEN(1,5))</f>
        <v>Groceries</v>
      </c>
      <c r="F538" s="5" t="str">
        <f t="shared" ca="1" si="41"/>
        <v>Rice 5kg</v>
      </c>
      <c r="G538" s="8">
        <f t="shared" ca="1" si="42"/>
        <v>83</v>
      </c>
      <c r="H538" s="10">
        <f t="shared" ca="1" si="43"/>
        <v>50</v>
      </c>
      <c r="I538" s="10">
        <f t="shared" ca="1" si="44"/>
        <v>4150</v>
      </c>
      <c r="J538" s="10">
        <f ca="1">Table2[[#This Row],[Unit Price]] * RANDBETWEEN(70,90)/100</f>
        <v>37.5</v>
      </c>
      <c r="K538" s="12">
        <f ca="1">(Table2[[#This Row],[Unit Price]] - Table2[[#This Row],[Cost per Unit]]) * Table2[[#This Row],[Units Sold]]</f>
        <v>1037.5</v>
      </c>
    </row>
    <row r="539" spans="1:11" ht="15.6" x14ac:dyDescent="0.3">
      <c r="A539" s="5" cm="1">
        <f t="array" ref="A539">1000 + ROW(539:539)</f>
        <v>1539</v>
      </c>
      <c r="B539" s="6">
        <f t="shared" ca="1" si="40"/>
        <v>45325</v>
      </c>
      <c r="C539" s="5" t="str" cm="1">
        <f t="array" aca="1" ref="C539" ca="1">INDEX({"S001","S002","S003","S004","S005"}, RANDBETWEEN(1,5))</f>
        <v>S004</v>
      </c>
      <c r="D539" s="5" t="str" cm="1">
        <f t="array" aca="1" ref="D539" ca="1">INDEX({"Mumbai","Delhi","Bangalore","Ahmedabad","Chennai"}, RANDBETWEEN(1,5))</f>
        <v>Ahmedabad</v>
      </c>
      <c r="E539" s="5" t="str" cm="1">
        <f t="array" aca="1" ref="E539" ca="1">INDEX({"Electronics","Groceries","Furniture","Clothing","Stationery"}, RANDBETWEEN(1,5))</f>
        <v>Stationery</v>
      </c>
      <c r="F539" s="5" t="str">
        <f t="shared" ca="1" si="41"/>
        <v>Smartphone</v>
      </c>
      <c r="G539" s="8">
        <f t="shared" ca="1" si="42"/>
        <v>37</v>
      </c>
      <c r="H539" s="10">
        <f t="shared" ca="1" si="43"/>
        <v>15000</v>
      </c>
      <c r="I539" s="10">
        <f t="shared" ca="1" si="44"/>
        <v>555000</v>
      </c>
      <c r="J539" s="10">
        <f ca="1">Table2[[#This Row],[Unit Price]] * RANDBETWEEN(70,90)/100</f>
        <v>10500</v>
      </c>
      <c r="K539" s="12">
        <f ca="1">(Table2[[#This Row],[Unit Price]] - Table2[[#This Row],[Cost per Unit]]) * Table2[[#This Row],[Units Sold]]</f>
        <v>166500</v>
      </c>
    </row>
    <row r="540" spans="1:11" ht="15.6" x14ac:dyDescent="0.3">
      <c r="A540" s="5" cm="1">
        <f t="array" ref="A540">1000 + ROW(540:540)</f>
        <v>1540</v>
      </c>
      <c r="B540" s="6">
        <f t="shared" ca="1" si="40"/>
        <v>45382</v>
      </c>
      <c r="C540" s="5" t="str" cm="1">
        <f t="array" aca="1" ref="C540" ca="1">INDEX({"S001","S002","S003","S004","S005"}, RANDBETWEEN(1,5))</f>
        <v>S001</v>
      </c>
      <c r="D540" s="5" t="str" cm="1">
        <f t="array" aca="1" ref="D540" ca="1">INDEX({"Mumbai","Delhi","Bangalore","Ahmedabad","Chennai"}, RANDBETWEEN(1,5))</f>
        <v>Ahmedabad</v>
      </c>
      <c r="E540" s="5" t="str" cm="1">
        <f t="array" aca="1" ref="E540" ca="1">INDEX({"Electronics","Groceries","Furniture","Clothing","Stationery"}, RANDBETWEEN(1,5))</f>
        <v>Groceries</v>
      </c>
      <c r="F540" s="5" t="str">
        <f t="shared" ca="1" si="41"/>
        <v>Rice 5kg</v>
      </c>
      <c r="G540" s="8">
        <f t="shared" ca="1" si="42"/>
        <v>87</v>
      </c>
      <c r="H540" s="10">
        <f t="shared" ca="1" si="43"/>
        <v>1200</v>
      </c>
      <c r="I540" s="10">
        <f t="shared" ca="1" si="44"/>
        <v>104400</v>
      </c>
      <c r="J540" s="10">
        <f ca="1">Table2[[#This Row],[Unit Price]] * RANDBETWEEN(70,90)/100</f>
        <v>936</v>
      </c>
      <c r="K540" s="12">
        <f ca="1">(Table2[[#This Row],[Unit Price]] - Table2[[#This Row],[Cost per Unit]]) * Table2[[#This Row],[Units Sold]]</f>
        <v>22968</v>
      </c>
    </row>
    <row r="541" spans="1:11" ht="15.6" x14ac:dyDescent="0.3">
      <c r="A541" s="5" cm="1">
        <f t="array" ref="A541">1000 + ROW(541:541)</f>
        <v>1541</v>
      </c>
      <c r="B541" s="6">
        <f t="shared" ca="1" si="40"/>
        <v>45326</v>
      </c>
      <c r="C541" s="5" t="str" cm="1">
        <f t="array" aca="1" ref="C541" ca="1">INDEX({"S001","S002","S003","S004","S005"}, RANDBETWEEN(1,5))</f>
        <v>S004</v>
      </c>
      <c r="D541" s="5" t="str" cm="1">
        <f t="array" aca="1" ref="D541" ca="1">INDEX({"Mumbai","Delhi","Bangalore","Ahmedabad","Chennai"}, RANDBETWEEN(1,5))</f>
        <v>Mumbai</v>
      </c>
      <c r="E541" s="5" t="str" cm="1">
        <f t="array" aca="1" ref="E541" ca="1">INDEX({"Electronics","Groceries","Furniture","Clothing","Stationery"}, RANDBETWEEN(1,5))</f>
        <v>Furniture</v>
      </c>
      <c r="F541" s="5" t="str">
        <f t="shared" ca="1" si="41"/>
        <v>Smartphone</v>
      </c>
      <c r="G541" s="8">
        <f t="shared" ca="1" si="42"/>
        <v>57</v>
      </c>
      <c r="H541" s="10">
        <f t="shared" ca="1" si="43"/>
        <v>900</v>
      </c>
      <c r="I541" s="10">
        <f t="shared" ca="1" si="44"/>
        <v>51300</v>
      </c>
      <c r="J541" s="10">
        <f ca="1">Table2[[#This Row],[Unit Price]] * RANDBETWEEN(70,90)/100</f>
        <v>675</v>
      </c>
      <c r="K541" s="12">
        <f ca="1">(Table2[[#This Row],[Unit Price]] - Table2[[#This Row],[Cost per Unit]]) * Table2[[#This Row],[Units Sold]]</f>
        <v>12825</v>
      </c>
    </row>
    <row r="542" spans="1:11" ht="15.6" x14ac:dyDescent="0.3">
      <c r="A542" s="5" cm="1">
        <f t="array" ref="A542">1000 + ROW(542:542)</f>
        <v>1542</v>
      </c>
      <c r="B542" s="6">
        <f t="shared" ca="1" si="40"/>
        <v>45329</v>
      </c>
      <c r="C542" s="5" t="str" cm="1">
        <f t="array" aca="1" ref="C542" ca="1">INDEX({"S001","S002","S003","S004","S005"}, RANDBETWEEN(1,5))</f>
        <v>S004</v>
      </c>
      <c r="D542" s="5" t="str" cm="1">
        <f t="array" aca="1" ref="D542" ca="1">INDEX({"Mumbai","Delhi","Bangalore","Ahmedabad","Chennai"}, RANDBETWEEN(1,5))</f>
        <v>Mumbai</v>
      </c>
      <c r="E542" s="5" t="str" cm="1">
        <f t="array" aca="1" ref="E542" ca="1">INDEX({"Electronics","Groceries","Furniture","Clothing","Stationery"}, RANDBETWEEN(1,5))</f>
        <v>Stationery</v>
      </c>
      <c r="F542" s="5" t="str">
        <f t="shared" ca="1" si="41"/>
        <v>Shampoo</v>
      </c>
      <c r="G542" s="8">
        <f t="shared" ca="1" si="42"/>
        <v>44</v>
      </c>
      <c r="H542" s="10">
        <f t="shared" ca="1" si="43"/>
        <v>150</v>
      </c>
      <c r="I542" s="10">
        <f t="shared" ca="1" si="44"/>
        <v>6600</v>
      </c>
      <c r="J542" s="10">
        <f ca="1">Table2[[#This Row],[Unit Price]] * RANDBETWEEN(70,90)/100</f>
        <v>135</v>
      </c>
      <c r="K542" s="12">
        <f ca="1">(Table2[[#This Row],[Unit Price]] - Table2[[#This Row],[Cost per Unit]]) * Table2[[#This Row],[Units Sold]]</f>
        <v>660</v>
      </c>
    </row>
    <row r="543" spans="1:11" ht="15.6" x14ac:dyDescent="0.3">
      <c r="A543" s="5" cm="1">
        <f t="array" ref="A543">1000 + ROW(543:543)</f>
        <v>1543</v>
      </c>
      <c r="B543" s="6">
        <f t="shared" ca="1" si="40"/>
        <v>45298</v>
      </c>
      <c r="C543" s="5" t="str" cm="1">
        <f t="array" aca="1" ref="C543" ca="1">INDEX({"S001","S002","S003","S004","S005"}, RANDBETWEEN(1,5))</f>
        <v>S001</v>
      </c>
      <c r="D543" s="5" t="str" cm="1">
        <f t="array" aca="1" ref="D543" ca="1">INDEX({"Mumbai","Delhi","Bangalore","Ahmedabad","Chennai"}, RANDBETWEEN(1,5))</f>
        <v>Mumbai</v>
      </c>
      <c r="E543" s="5" t="str" cm="1">
        <f t="array" aca="1" ref="E543" ca="1">INDEX({"Electronics","Groceries","Furniture","Clothing","Stationery"}, RANDBETWEEN(1,5))</f>
        <v>Groceries</v>
      </c>
      <c r="F543" s="5" t="str">
        <f t="shared" ca="1" si="41"/>
        <v>Table</v>
      </c>
      <c r="G543" s="8">
        <f t="shared" ca="1" si="42"/>
        <v>41</v>
      </c>
      <c r="H543" s="10">
        <f t="shared" ca="1" si="43"/>
        <v>15000</v>
      </c>
      <c r="I543" s="10">
        <f t="shared" ca="1" si="44"/>
        <v>615000</v>
      </c>
      <c r="J543" s="10">
        <f ca="1">Table2[[#This Row],[Unit Price]] * RANDBETWEEN(70,90)/100</f>
        <v>12300</v>
      </c>
      <c r="K543" s="12">
        <f ca="1">(Table2[[#This Row],[Unit Price]] - Table2[[#This Row],[Cost per Unit]]) * Table2[[#This Row],[Units Sold]]</f>
        <v>110700</v>
      </c>
    </row>
    <row r="544" spans="1:11" ht="15.6" x14ac:dyDescent="0.3">
      <c r="A544" s="5" cm="1">
        <f t="array" ref="A544">1000 + ROW(544:544)</f>
        <v>1544</v>
      </c>
      <c r="B544" s="6">
        <f t="shared" ca="1" si="40"/>
        <v>45380</v>
      </c>
      <c r="C544" s="5" t="str" cm="1">
        <f t="array" aca="1" ref="C544" ca="1">INDEX({"S001","S002","S003","S004","S005"}, RANDBETWEEN(1,5))</f>
        <v>S001</v>
      </c>
      <c r="D544" s="5" t="str" cm="1">
        <f t="array" aca="1" ref="D544" ca="1">INDEX({"Mumbai","Delhi","Bangalore","Ahmedabad","Chennai"}, RANDBETWEEN(1,5))</f>
        <v>Bangalore</v>
      </c>
      <c r="E544" s="5" t="str" cm="1">
        <f t="array" aca="1" ref="E544" ca="1">INDEX({"Electronics","Groceries","Furniture","Clothing","Stationery"}, RANDBETWEEN(1,5))</f>
        <v>Furniture</v>
      </c>
      <c r="F544" s="5" t="str">
        <f t="shared" ca="1" si="41"/>
        <v>Desk Lamp</v>
      </c>
      <c r="G544" s="8">
        <f t="shared" ca="1" si="42"/>
        <v>18</v>
      </c>
      <c r="H544" s="10">
        <f t="shared" ca="1" si="43"/>
        <v>700</v>
      </c>
      <c r="I544" s="10">
        <f t="shared" ca="1" si="44"/>
        <v>12600</v>
      </c>
      <c r="J544" s="10">
        <f ca="1">Table2[[#This Row],[Unit Price]] * RANDBETWEEN(70,90)/100</f>
        <v>609</v>
      </c>
      <c r="K544" s="12">
        <f ca="1">(Table2[[#This Row],[Unit Price]] - Table2[[#This Row],[Cost per Unit]]) * Table2[[#This Row],[Units Sold]]</f>
        <v>1638</v>
      </c>
    </row>
    <row r="545" spans="1:11" ht="15.6" x14ac:dyDescent="0.3">
      <c r="A545" s="5" cm="1">
        <f t="array" ref="A545">1000 + ROW(545:545)</f>
        <v>1545</v>
      </c>
      <c r="B545" s="6">
        <f t="shared" ca="1" si="40"/>
        <v>45318</v>
      </c>
      <c r="C545" s="5" t="str" cm="1">
        <f t="array" aca="1" ref="C545" ca="1">INDEX({"S001","S002","S003","S004","S005"}, RANDBETWEEN(1,5))</f>
        <v>S004</v>
      </c>
      <c r="D545" s="5" t="str" cm="1">
        <f t="array" aca="1" ref="D545" ca="1">INDEX({"Mumbai","Delhi","Bangalore","Ahmedabad","Chennai"}, RANDBETWEEN(1,5))</f>
        <v>Delhi</v>
      </c>
      <c r="E545" s="5" t="str" cm="1">
        <f t="array" aca="1" ref="E545" ca="1">INDEX({"Electronics","Groceries","Furniture","Clothing","Stationery"}, RANDBETWEEN(1,5))</f>
        <v>Stationery</v>
      </c>
      <c r="F545" s="5" t="str">
        <f t="shared" ca="1" si="41"/>
        <v>Notebook</v>
      </c>
      <c r="G545" s="8">
        <f t="shared" ca="1" si="42"/>
        <v>40</v>
      </c>
      <c r="H545" s="10">
        <f t="shared" ca="1" si="43"/>
        <v>50</v>
      </c>
      <c r="I545" s="10">
        <f t="shared" ca="1" si="44"/>
        <v>2000</v>
      </c>
      <c r="J545" s="10">
        <f ca="1">Table2[[#This Row],[Unit Price]] * RANDBETWEEN(70,90)/100</f>
        <v>39</v>
      </c>
      <c r="K545" s="12">
        <f ca="1">(Table2[[#This Row],[Unit Price]] - Table2[[#This Row],[Cost per Unit]]) * Table2[[#This Row],[Units Sold]]</f>
        <v>440</v>
      </c>
    </row>
    <row r="546" spans="1:11" ht="15.6" x14ac:dyDescent="0.3">
      <c r="A546" s="5" cm="1">
        <f t="array" ref="A546">1000 + ROW(546:546)</f>
        <v>1546</v>
      </c>
      <c r="B546" s="6">
        <f t="shared" ca="1" si="40"/>
        <v>45350</v>
      </c>
      <c r="C546" s="5" t="str" cm="1">
        <f t="array" aca="1" ref="C546" ca="1">INDEX({"S001","S002","S003","S004","S005"}, RANDBETWEEN(1,5))</f>
        <v>S005</v>
      </c>
      <c r="D546" s="5" t="str" cm="1">
        <f t="array" aca="1" ref="D546" ca="1">INDEX({"Mumbai","Delhi","Bangalore","Ahmedabad","Chennai"}, RANDBETWEEN(1,5))</f>
        <v>Bangalore</v>
      </c>
      <c r="E546" s="5" t="str" cm="1">
        <f t="array" aca="1" ref="E546" ca="1">INDEX({"Electronics","Groceries","Furniture","Clothing","Stationery"}, RANDBETWEEN(1,5))</f>
        <v>Clothing</v>
      </c>
      <c r="F546" s="5" t="str">
        <f t="shared" ca="1" si="41"/>
        <v>T-shirt</v>
      </c>
      <c r="G546" s="8">
        <f t="shared" ca="1" si="42"/>
        <v>95</v>
      </c>
      <c r="H546" s="10">
        <f t="shared" ca="1" si="43"/>
        <v>300</v>
      </c>
      <c r="I546" s="10">
        <f t="shared" ca="1" si="44"/>
        <v>28500</v>
      </c>
      <c r="J546" s="10">
        <f ca="1">Table2[[#This Row],[Unit Price]] * RANDBETWEEN(70,90)/100</f>
        <v>243</v>
      </c>
      <c r="K546" s="12">
        <f ca="1">(Table2[[#This Row],[Unit Price]] - Table2[[#This Row],[Cost per Unit]]) * Table2[[#This Row],[Units Sold]]</f>
        <v>5415</v>
      </c>
    </row>
    <row r="547" spans="1:11" ht="15.6" x14ac:dyDescent="0.3">
      <c r="A547" s="5" cm="1">
        <f t="array" ref="A547">1000 + ROW(547:547)</f>
        <v>1547</v>
      </c>
      <c r="B547" s="6">
        <f t="shared" ca="1" si="40"/>
        <v>45321</v>
      </c>
      <c r="C547" s="5" t="str" cm="1">
        <f t="array" aca="1" ref="C547" ca="1">INDEX({"S001","S002","S003","S004","S005"}, RANDBETWEEN(1,5))</f>
        <v>S001</v>
      </c>
      <c r="D547" s="5" t="str" cm="1">
        <f t="array" aca="1" ref="D547" ca="1">INDEX({"Mumbai","Delhi","Bangalore","Ahmedabad","Chennai"}, RANDBETWEEN(1,5))</f>
        <v>Delhi</v>
      </c>
      <c r="E547" s="5" t="str" cm="1">
        <f t="array" aca="1" ref="E547" ca="1">INDEX({"Electronics","Groceries","Furniture","Clothing","Stationery"}, RANDBETWEEN(1,5))</f>
        <v>Electronics</v>
      </c>
      <c r="F547" s="5" t="str">
        <f t="shared" ca="1" si="41"/>
        <v>Laptop</v>
      </c>
      <c r="G547" s="8">
        <f t="shared" ca="1" si="42"/>
        <v>33</v>
      </c>
      <c r="H547" s="10">
        <f t="shared" ca="1" si="43"/>
        <v>150</v>
      </c>
      <c r="I547" s="10">
        <f t="shared" ca="1" si="44"/>
        <v>4950</v>
      </c>
      <c r="J547" s="10">
        <f ca="1">Table2[[#This Row],[Unit Price]] * RANDBETWEEN(70,90)/100</f>
        <v>126</v>
      </c>
      <c r="K547" s="12">
        <f ca="1">(Table2[[#This Row],[Unit Price]] - Table2[[#This Row],[Cost per Unit]]) * Table2[[#This Row],[Units Sold]]</f>
        <v>792</v>
      </c>
    </row>
    <row r="548" spans="1:11" ht="15.6" x14ac:dyDescent="0.3">
      <c r="A548" s="5" cm="1">
        <f t="array" ref="A548">1000 + ROW(548:548)</f>
        <v>1548</v>
      </c>
      <c r="B548" s="6">
        <f t="shared" ca="1" si="40"/>
        <v>45313</v>
      </c>
      <c r="C548" s="5" t="str" cm="1">
        <f t="array" aca="1" ref="C548" ca="1">INDEX({"S001","S002","S003","S004","S005"}, RANDBETWEEN(1,5))</f>
        <v>S001</v>
      </c>
      <c r="D548" s="5" t="str" cm="1">
        <f t="array" aca="1" ref="D548" ca="1">INDEX({"Mumbai","Delhi","Bangalore","Ahmedabad","Chennai"}, RANDBETWEEN(1,5))</f>
        <v>Chennai</v>
      </c>
      <c r="E548" s="5" t="str" cm="1">
        <f t="array" aca="1" ref="E548" ca="1">INDEX({"Electronics","Groceries","Furniture","Clothing","Stationery"}, RANDBETWEEN(1,5))</f>
        <v>Electronics</v>
      </c>
      <c r="F548" s="5" t="str">
        <f t="shared" ca="1" si="41"/>
        <v>Shampoo</v>
      </c>
      <c r="G548" s="8">
        <f t="shared" ca="1" si="42"/>
        <v>54</v>
      </c>
      <c r="H548" s="10">
        <f t="shared" ca="1" si="43"/>
        <v>900</v>
      </c>
      <c r="I548" s="10">
        <f t="shared" ca="1" si="44"/>
        <v>48600</v>
      </c>
      <c r="J548" s="10">
        <f ca="1">Table2[[#This Row],[Unit Price]] * RANDBETWEEN(70,90)/100</f>
        <v>774</v>
      </c>
      <c r="K548" s="12">
        <f ca="1">(Table2[[#This Row],[Unit Price]] - Table2[[#This Row],[Cost per Unit]]) * Table2[[#This Row],[Units Sold]]</f>
        <v>6804</v>
      </c>
    </row>
    <row r="549" spans="1:11" ht="15.6" x14ac:dyDescent="0.3">
      <c r="A549" s="5" cm="1">
        <f t="array" ref="A549">1000 + ROW(549:549)</f>
        <v>1549</v>
      </c>
      <c r="B549" s="6">
        <f t="shared" ca="1" si="40"/>
        <v>45340</v>
      </c>
      <c r="C549" s="5" t="str" cm="1">
        <f t="array" aca="1" ref="C549" ca="1">INDEX({"S001","S002","S003","S004","S005"}, RANDBETWEEN(1,5))</f>
        <v>S003</v>
      </c>
      <c r="D549" s="5" t="str" cm="1">
        <f t="array" aca="1" ref="D549" ca="1">INDEX({"Mumbai","Delhi","Bangalore","Ahmedabad","Chennai"}, RANDBETWEEN(1,5))</f>
        <v>Ahmedabad</v>
      </c>
      <c r="E549" s="5" t="str" cm="1">
        <f t="array" aca="1" ref="E549" ca="1">INDEX({"Electronics","Groceries","Furniture","Clothing","Stationery"}, RANDBETWEEN(1,5))</f>
        <v>Groceries</v>
      </c>
      <c r="F549" s="5" t="str">
        <f t="shared" ca="1" si="41"/>
        <v>Notebook</v>
      </c>
      <c r="G549" s="8">
        <f t="shared" ca="1" si="42"/>
        <v>73</v>
      </c>
      <c r="H549" s="10">
        <f t="shared" ca="1" si="43"/>
        <v>50</v>
      </c>
      <c r="I549" s="10">
        <f t="shared" ca="1" si="44"/>
        <v>3650</v>
      </c>
      <c r="J549" s="10">
        <f ca="1">Table2[[#This Row],[Unit Price]] * RANDBETWEEN(70,90)/100</f>
        <v>40.5</v>
      </c>
      <c r="K549" s="12">
        <f ca="1">(Table2[[#This Row],[Unit Price]] - Table2[[#This Row],[Cost per Unit]]) * Table2[[#This Row],[Units Sold]]</f>
        <v>693.5</v>
      </c>
    </row>
    <row r="550" spans="1:11" ht="15.6" x14ac:dyDescent="0.3">
      <c r="A550" s="5" cm="1">
        <f t="array" ref="A550">1000 + ROW(550:550)</f>
        <v>1550</v>
      </c>
      <c r="B550" s="6">
        <f t="shared" ca="1" si="40"/>
        <v>45349</v>
      </c>
      <c r="C550" s="5" t="str" cm="1">
        <f t="array" aca="1" ref="C550" ca="1">INDEX({"S001","S002","S003","S004","S005"}, RANDBETWEEN(1,5))</f>
        <v>S005</v>
      </c>
      <c r="D550" s="5" t="str" cm="1">
        <f t="array" aca="1" ref="D550" ca="1">INDEX({"Mumbai","Delhi","Bangalore","Ahmedabad","Chennai"}, RANDBETWEEN(1,5))</f>
        <v>Chennai</v>
      </c>
      <c r="E550" s="5" t="str" cm="1">
        <f t="array" aca="1" ref="E550" ca="1">INDEX({"Electronics","Groceries","Furniture","Clothing","Stationery"}, RANDBETWEEN(1,5))</f>
        <v>Stationery</v>
      </c>
      <c r="F550" s="5" t="str">
        <f t="shared" ca="1" si="41"/>
        <v>Rice 5kg</v>
      </c>
      <c r="G550" s="8">
        <f t="shared" ca="1" si="42"/>
        <v>15</v>
      </c>
      <c r="H550" s="10">
        <f t="shared" ca="1" si="43"/>
        <v>50</v>
      </c>
      <c r="I550" s="10">
        <f t="shared" ca="1" si="44"/>
        <v>750</v>
      </c>
      <c r="J550" s="10">
        <f ca="1">Table2[[#This Row],[Unit Price]] * RANDBETWEEN(70,90)/100</f>
        <v>43</v>
      </c>
      <c r="K550" s="12">
        <f ca="1">(Table2[[#This Row],[Unit Price]] - Table2[[#This Row],[Cost per Unit]]) * Table2[[#This Row],[Units Sold]]</f>
        <v>105</v>
      </c>
    </row>
    <row r="551" spans="1:11" ht="15.6" x14ac:dyDescent="0.3">
      <c r="A551" s="5" cm="1">
        <f t="array" ref="A551">1000 + ROW(551:551)</f>
        <v>1551</v>
      </c>
      <c r="B551" s="6">
        <f t="shared" ca="1" si="40"/>
        <v>45374</v>
      </c>
      <c r="C551" s="5" t="str" cm="1">
        <f t="array" aca="1" ref="C551" ca="1">INDEX({"S001","S002","S003","S004","S005"}, RANDBETWEEN(1,5))</f>
        <v>S002</v>
      </c>
      <c r="D551" s="5" t="str" cm="1">
        <f t="array" aca="1" ref="D551" ca="1">INDEX({"Mumbai","Delhi","Bangalore","Ahmedabad","Chennai"}, RANDBETWEEN(1,5))</f>
        <v>Chennai</v>
      </c>
      <c r="E551" s="5" t="str" cm="1">
        <f t="array" aca="1" ref="E551" ca="1">INDEX({"Electronics","Groceries","Furniture","Clothing","Stationery"}, RANDBETWEEN(1,5))</f>
        <v>Electronics</v>
      </c>
      <c r="F551" s="5" t="str">
        <f t="shared" ca="1" si="41"/>
        <v>Smartphone</v>
      </c>
      <c r="G551" s="8">
        <f t="shared" ca="1" si="42"/>
        <v>58</v>
      </c>
      <c r="H551" s="10">
        <f t="shared" ca="1" si="43"/>
        <v>250</v>
      </c>
      <c r="I551" s="10">
        <f t="shared" ca="1" si="44"/>
        <v>14500</v>
      </c>
      <c r="J551" s="10">
        <f ca="1">Table2[[#This Row],[Unit Price]] * RANDBETWEEN(70,90)/100</f>
        <v>205</v>
      </c>
      <c r="K551" s="12">
        <f ca="1">(Table2[[#This Row],[Unit Price]] - Table2[[#This Row],[Cost per Unit]]) * Table2[[#This Row],[Units Sold]]</f>
        <v>2610</v>
      </c>
    </row>
    <row r="552" spans="1:11" ht="15.6" x14ac:dyDescent="0.3">
      <c r="A552" s="5" cm="1">
        <f t="array" ref="A552">1000 + ROW(552:552)</f>
        <v>1552</v>
      </c>
      <c r="B552" s="6">
        <f t="shared" ca="1" si="40"/>
        <v>45316</v>
      </c>
      <c r="C552" s="5" t="str" cm="1">
        <f t="array" aca="1" ref="C552" ca="1">INDEX({"S001","S002","S003","S004","S005"}, RANDBETWEEN(1,5))</f>
        <v>S002</v>
      </c>
      <c r="D552" s="5" t="str" cm="1">
        <f t="array" aca="1" ref="D552" ca="1">INDEX({"Mumbai","Delhi","Bangalore","Ahmedabad","Chennai"}, RANDBETWEEN(1,5))</f>
        <v>Bangalore</v>
      </c>
      <c r="E552" s="5" t="str" cm="1">
        <f t="array" aca="1" ref="E552" ca="1">INDEX({"Electronics","Groceries","Furniture","Clothing","Stationery"}, RANDBETWEEN(1,5))</f>
        <v>Stationery</v>
      </c>
      <c r="F552" s="5" t="str">
        <f t="shared" ca="1" si="41"/>
        <v>Rice 5kg</v>
      </c>
      <c r="G552" s="8">
        <f t="shared" ca="1" si="42"/>
        <v>92</v>
      </c>
      <c r="H552" s="10">
        <f t="shared" ca="1" si="43"/>
        <v>900</v>
      </c>
      <c r="I552" s="10">
        <f t="shared" ca="1" si="44"/>
        <v>82800</v>
      </c>
      <c r="J552" s="10">
        <f ca="1">Table2[[#This Row],[Unit Price]] * RANDBETWEEN(70,90)/100</f>
        <v>810</v>
      </c>
      <c r="K552" s="12">
        <f ca="1">(Table2[[#This Row],[Unit Price]] - Table2[[#This Row],[Cost per Unit]]) * Table2[[#This Row],[Units Sold]]</f>
        <v>8280</v>
      </c>
    </row>
    <row r="553" spans="1:11" ht="15.6" x14ac:dyDescent="0.3">
      <c r="A553" s="5" cm="1">
        <f t="array" ref="A553">1000 + ROW(553:553)</f>
        <v>1553</v>
      </c>
      <c r="B553" s="6">
        <f t="shared" ca="1" si="40"/>
        <v>45376</v>
      </c>
      <c r="C553" s="5" t="str" cm="1">
        <f t="array" aca="1" ref="C553" ca="1">INDEX({"S001","S002","S003","S004","S005"}, RANDBETWEEN(1,5))</f>
        <v>S003</v>
      </c>
      <c r="D553" s="5" t="str" cm="1">
        <f t="array" aca="1" ref="D553" ca="1">INDEX({"Mumbai","Delhi","Bangalore","Ahmedabad","Chennai"}, RANDBETWEEN(1,5))</f>
        <v>Delhi</v>
      </c>
      <c r="E553" s="5" t="str" cm="1">
        <f t="array" aca="1" ref="E553" ca="1">INDEX({"Electronics","Groceries","Furniture","Clothing","Stationery"}, RANDBETWEEN(1,5))</f>
        <v>Electronics</v>
      </c>
      <c r="F553" s="5" t="str">
        <f t="shared" ca="1" si="41"/>
        <v>Shampoo</v>
      </c>
      <c r="G553" s="8">
        <f t="shared" ca="1" si="42"/>
        <v>36</v>
      </c>
      <c r="H553" s="10">
        <f t="shared" ca="1" si="43"/>
        <v>700</v>
      </c>
      <c r="I553" s="10">
        <f t="shared" ca="1" si="44"/>
        <v>25200</v>
      </c>
      <c r="J553" s="10">
        <f ca="1">Table2[[#This Row],[Unit Price]] * RANDBETWEEN(70,90)/100</f>
        <v>602</v>
      </c>
      <c r="K553" s="12">
        <f ca="1">(Table2[[#This Row],[Unit Price]] - Table2[[#This Row],[Cost per Unit]]) * Table2[[#This Row],[Units Sold]]</f>
        <v>3528</v>
      </c>
    </row>
    <row r="554" spans="1:11" ht="15.6" x14ac:dyDescent="0.3">
      <c r="A554" s="5" cm="1">
        <f t="array" ref="A554">1000 + ROW(554:554)</f>
        <v>1554</v>
      </c>
      <c r="B554" s="6">
        <f t="shared" ca="1" si="40"/>
        <v>45374</v>
      </c>
      <c r="C554" s="5" t="str" cm="1">
        <f t="array" aca="1" ref="C554" ca="1">INDEX({"S001","S002","S003","S004","S005"}, RANDBETWEEN(1,5))</f>
        <v>S004</v>
      </c>
      <c r="D554" s="5" t="str" cm="1">
        <f t="array" aca="1" ref="D554" ca="1">INDEX({"Mumbai","Delhi","Bangalore","Ahmedabad","Chennai"}, RANDBETWEEN(1,5))</f>
        <v>Mumbai</v>
      </c>
      <c r="E554" s="5" t="str" cm="1">
        <f t="array" aca="1" ref="E554" ca="1">INDEX({"Electronics","Groceries","Furniture","Clothing","Stationery"}, RANDBETWEEN(1,5))</f>
        <v>Electronics</v>
      </c>
      <c r="F554" s="5" t="str">
        <f t="shared" ca="1" si="41"/>
        <v>Smartphone</v>
      </c>
      <c r="G554" s="8">
        <f t="shared" ca="1" si="42"/>
        <v>61</v>
      </c>
      <c r="H554" s="10">
        <f t="shared" ca="1" si="43"/>
        <v>900</v>
      </c>
      <c r="I554" s="10">
        <f t="shared" ca="1" si="44"/>
        <v>54900</v>
      </c>
      <c r="J554" s="10">
        <f ca="1">Table2[[#This Row],[Unit Price]] * RANDBETWEEN(70,90)/100</f>
        <v>810</v>
      </c>
      <c r="K554" s="12">
        <f ca="1">(Table2[[#This Row],[Unit Price]] - Table2[[#This Row],[Cost per Unit]]) * Table2[[#This Row],[Units Sold]]</f>
        <v>5490</v>
      </c>
    </row>
    <row r="555" spans="1:11" ht="15.6" x14ac:dyDescent="0.3">
      <c r="A555" s="5" cm="1">
        <f t="array" ref="A555">1000 + ROW(555:555)</f>
        <v>1555</v>
      </c>
      <c r="B555" s="6">
        <f t="shared" ca="1" si="40"/>
        <v>45364</v>
      </c>
      <c r="C555" s="5" t="str" cm="1">
        <f t="array" aca="1" ref="C555" ca="1">INDEX({"S001","S002","S003","S004","S005"}, RANDBETWEEN(1,5))</f>
        <v>S001</v>
      </c>
      <c r="D555" s="5" t="str" cm="1">
        <f t="array" aca="1" ref="D555" ca="1">INDEX({"Mumbai","Delhi","Bangalore","Ahmedabad","Chennai"}, RANDBETWEEN(1,5))</f>
        <v>Bangalore</v>
      </c>
      <c r="E555" s="5" t="str" cm="1">
        <f t="array" aca="1" ref="E555" ca="1">INDEX({"Electronics","Groceries","Furniture","Clothing","Stationery"}, RANDBETWEEN(1,5))</f>
        <v>Clothing</v>
      </c>
      <c r="F555" s="5" t="str">
        <f t="shared" ca="1" si="41"/>
        <v>Cooking Oil 1L</v>
      </c>
      <c r="G555" s="8">
        <f t="shared" ca="1" si="42"/>
        <v>8</v>
      </c>
      <c r="H555" s="10">
        <f t="shared" ca="1" si="43"/>
        <v>900</v>
      </c>
      <c r="I555" s="10">
        <f t="shared" ca="1" si="44"/>
        <v>7200</v>
      </c>
      <c r="J555" s="10">
        <f ca="1">Table2[[#This Row],[Unit Price]] * RANDBETWEEN(70,90)/100</f>
        <v>630</v>
      </c>
      <c r="K555" s="12">
        <f ca="1">(Table2[[#This Row],[Unit Price]] - Table2[[#This Row],[Cost per Unit]]) * Table2[[#This Row],[Units Sold]]</f>
        <v>2160</v>
      </c>
    </row>
    <row r="556" spans="1:11" ht="15.6" x14ac:dyDescent="0.3">
      <c r="A556" s="5" cm="1">
        <f t="array" ref="A556">1000 + ROW(556:556)</f>
        <v>1556</v>
      </c>
      <c r="B556" s="6">
        <f t="shared" ca="1" si="40"/>
        <v>45351</v>
      </c>
      <c r="C556" s="5" t="str" cm="1">
        <f t="array" aca="1" ref="C556" ca="1">INDEX({"S001","S002","S003","S004","S005"}, RANDBETWEEN(1,5))</f>
        <v>S002</v>
      </c>
      <c r="D556" s="5" t="str" cm="1">
        <f t="array" aca="1" ref="D556" ca="1">INDEX({"Mumbai","Delhi","Bangalore","Ahmedabad","Chennai"}, RANDBETWEEN(1,5))</f>
        <v>Bangalore</v>
      </c>
      <c r="E556" s="5" t="str" cm="1">
        <f t="array" aca="1" ref="E556" ca="1">INDEX({"Electronics","Groceries","Furniture","Clothing","Stationery"}, RANDBETWEEN(1,5))</f>
        <v>Stationery</v>
      </c>
      <c r="F556" s="5" t="str">
        <f t="shared" ca="1" si="41"/>
        <v>T-shirt</v>
      </c>
      <c r="G556" s="8">
        <f t="shared" ca="1" si="42"/>
        <v>13</v>
      </c>
      <c r="H556" s="10">
        <f t="shared" ca="1" si="43"/>
        <v>500</v>
      </c>
      <c r="I556" s="10">
        <f t="shared" ca="1" si="44"/>
        <v>6500</v>
      </c>
      <c r="J556" s="10">
        <f ca="1">Table2[[#This Row],[Unit Price]] * RANDBETWEEN(70,90)/100</f>
        <v>350</v>
      </c>
      <c r="K556" s="12">
        <f ca="1">(Table2[[#This Row],[Unit Price]] - Table2[[#This Row],[Cost per Unit]]) * Table2[[#This Row],[Units Sold]]</f>
        <v>1950</v>
      </c>
    </row>
    <row r="557" spans="1:11" ht="15.6" x14ac:dyDescent="0.3">
      <c r="A557" s="5" cm="1">
        <f t="array" ref="A557">1000 + ROW(557:557)</f>
        <v>1557</v>
      </c>
      <c r="B557" s="6">
        <f t="shared" ca="1" si="40"/>
        <v>45313</v>
      </c>
      <c r="C557" s="5" t="str" cm="1">
        <f t="array" aca="1" ref="C557" ca="1">INDEX({"S001","S002","S003","S004","S005"}, RANDBETWEEN(1,5))</f>
        <v>S001</v>
      </c>
      <c r="D557" s="5" t="str" cm="1">
        <f t="array" aca="1" ref="D557" ca="1">INDEX({"Mumbai","Delhi","Bangalore","Ahmedabad","Chennai"}, RANDBETWEEN(1,5))</f>
        <v>Ahmedabad</v>
      </c>
      <c r="E557" s="5" t="str" cm="1">
        <f t="array" aca="1" ref="E557" ca="1">INDEX({"Electronics","Groceries","Furniture","Clothing","Stationery"}, RANDBETWEEN(1,5))</f>
        <v>Furniture</v>
      </c>
      <c r="F557" s="5" t="str">
        <f t="shared" ca="1" si="41"/>
        <v>Table</v>
      </c>
      <c r="G557" s="8">
        <f t="shared" ca="1" si="42"/>
        <v>3</v>
      </c>
      <c r="H557" s="10">
        <f t="shared" ca="1" si="43"/>
        <v>500</v>
      </c>
      <c r="I557" s="10">
        <f t="shared" ca="1" si="44"/>
        <v>1500</v>
      </c>
      <c r="J557" s="10">
        <f ca="1">Table2[[#This Row],[Unit Price]] * RANDBETWEEN(70,90)/100</f>
        <v>420</v>
      </c>
      <c r="K557" s="12">
        <f ca="1">(Table2[[#This Row],[Unit Price]] - Table2[[#This Row],[Cost per Unit]]) * Table2[[#This Row],[Units Sold]]</f>
        <v>240</v>
      </c>
    </row>
    <row r="558" spans="1:11" ht="15.6" x14ac:dyDescent="0.3">
      <c r="A558" s="5" cm="1">
        <f t="array" ref="A558">1000 + ROW(558:558)</f>
        <v>1558</v>
      </c>
      <c r="B558" s="6">
        <f t="shared" ca="1" si="40"/>
        <v>45357</v>
      </c>
      <c r="C558" s="5" t="str" cm="1">
        <f t="array" aca="1" ref="C558" ca="1">INDEX({"S001","S002","S003","S004","S005"}, RANDBETWEEN(1,5))</f>
        <v>S005</v>
      </c>
      <c r="D558" s="5" t="str" cm="1">
        <f t="array" aca="1" ref="D558" ca="1">INDEX({"Mumbai","Delhi","Bangalore","Ahmedabad","Chennai"}, RANDBETWEEN(1,5))</f>
        <v>Bangalore</v>
      </c>
      <c r="E558" s="5" t="str" cm="1">
        <f t="array" aca="1" ref="E558" ca="1">INDEX({"Electronics","Groceries","Furniture","Clothing","Stationery"}, RANDBETWEEN(1,5))</f>
        <v>Groceries</v>
      </c>
      <c r="F558" s="5" t="str">
        <f t="shared" ca="1" si="41"/>
        <v>Smartphone</v>
      </c>
      <c r="G558" s="8">
        <f t="shared" ca="1" si="42"/>
        <v>50</v>
      </c>
      <c r="H558" s="10">
        <f t="shared" ca="1" si="43"/>
        <v>250</v>
      </c>
      <c r="I558" s="10">
        <f t="shared" ca="1" si="44"/>
        <v>12500</v>
      </c>
      <c r="J558" s="10">
        <f ca="1">Table2[[#This Row],[Unit Price]] * RANDBETWEEN(70,90)/100</f>
        <v>192.5</v>
      </c>
      <c r="K558" s="12">
        <f ca="1">(Table2[[#This Row],[Unit Price]] - Table2[[#This Row],[Cost per Unit]]) * Table2[[#This Row],[Units Sold]]</f>
        <v>2875</v>
      </c>
    </row>
    <row r="559" spans="1:11" ht="15.6" x14ac:dyDescent="0.3">
      <c r="A559" s="5" cm="1">
        <f t="array" ref="A559">1000 + ROW(559:559)</f>
        <v>1559</v>
      </c>
      <c r="B559" s="6">
        <f t="shared" ca="1" si="40"/>
        <v>45340</v>
      </c>
      <c r="C559" s="5" t="str" cm="1">
        <f t="array" aca="1" ref="C559" ca="1">INDEX({"S001","S002","S003","S004","S005"}, RANDBETWEEN(1,5))</f>
        <v>S003</v>
      </c>
      <c r="D559" s="5" t="str" cm="1">
        <f t="array" aca="1" ref="D559" ca="1">INDEX({"Mumbai","Delhi","Bangalore","Ahmedabad","Chennai"}, RANDBETWEEN(1,5))</f>
        <v>Delhi</v>
      </c>
      <c r="E559" s="5" t="str" cm="1">
        <f t="array" aca="1" ref="E559" ca="1">INDEX({"Electronics","Groceries","Furniture","Clothing","Stationery"}, RANDBETWEEN(1,5))</f>
        <v>Stationery</v>
      </c>
      <c r="F559" s="5" t="str">
        <f t="shared" ca="1" si="41"/>
        <v>Shampoo</v>
      </c>
      <c r="G559" s="8">
        <f t="shared" ca="1" si="42"/>
        <v>86</v>
      </c>
      <c r="H559" s="10">
        <f t="shared" ca="1" si="43"/>
        <v>30000</v>
      </c>
      <c r="I559" s="10">
        <f t="shared" ca="1" si="44"/>
        <v>2580000</v>
      </c>
      <c r="J559" s="10">
        <f ca="1">Table2[[#This Row],[Unit Price]] * RANDBETWEEN(70,90)/100</f>
        <v>22800</v>
      </c>
      <c r="K559" s="12">
        <f ca="1">(Table2[[#This Row],[Unit Price]] - Table2[[#This Row],[Cost per Unit]]) * Table2[[#This Row],[Units Sold]]</f>
        <v>619200</v>
      </c>
    </row>
    <row r="560" spans="1:11" ht="15.6" x14ac:dyDescent="0.3">
      <c r="A560" s="5" cm="1">
        <f t="array" ref="A560">1000 + ROW(560:560)</f>
        <v>1560</v>
      </c>
      <c r="B560" s="6">
        <f t="shared" ca="1" si="40"/>
        <v>45320</v>
      </c>
      <c r="C560" s="5" t="str" cm="1">
        <f t="array" aca="1" ref="C560" ca="1">INDEX({"S001","S002","S003","S004","S005"}, RANDBETWEEN(1,5))</f>
        <v>S003</v>
      </c>
      <c r="D560" s="5" t="str" cm="1">
        <f t="array" aca="1" ref="D560" ca="1">INDEX({"Mumbai","Delhi","Bangalore","Ahmedabad","Chennai"}, RANDBETWEEN(1,5))</f>
        <v>Chennai</v>
      </c>
      <c r="E560" s="5" t="str" cm="1">
        <f t="array" aca="1" ref="E560" ca="1">INDEX({"Electronics","Groceries","Furniture","Clothing","Stationery"}, RANDBETWEEN(1,5))</f>
        <v>Clothing</v>
      </c>
      <c r="F560" s="5" t="str">
        <f t="shared" ca="1" si="41"/>
        <v>Laptop</v>
      </c>
      <c r="G560" s="8">
        <f t="shared" ca="1" si="42"/>
        <v>98</v>
      </c>
      <c r="H560" s="10">
        <f t="shared" ca="1" si="43"/>
        <v>500</v>
      </c>
      <c r="I560" s="10">
        <f t="shared" ca="1" si="44"/>
        <v>49000</v>
      </c>
      <c r="J560" s="10">
        <f ca="1">Table2[[#This Row],[Unit Price]] * RANDBETWEEN(70,90)/100</f>
        <v>400</v>
      </c>
      <c r="K560" s="12">
        <f ca="1">(Table2[[#This Row],[Unit Price]] - Table2[[#This Row],[Cost per Unit]]) * Table2[[#This Row],[Units Sold]]</f>
        <v>9800</v>
      </c>
    </row>
    <row r="561" spans="1:11" ht="15.6" x14ac:dyDescent="0.3">
      <c r="A561" s="5" cm="1">
        <f t="array" ref="A561">1000 + ROW(561:561)</f>
        <v>1561</v>
      </c>
      <c r="B561" s="6">
        <f t="shared" ca="1" si="40"/>
        <v>45316</v>
      </c>
      <c r="C561" s="5" t="str" cm="1">
        <f t="array" aca="1" ref="C561" ca="1">INDEX({"S001","S002","S003","S004","S005"}, RANDBETWEEN(1,5))</f>
        <v>S005</v>
      </c>
      <c r="D561" s="5" t="str" cm="1">
        <f t="array" aca="1" ref="D561" ca="1">INDEX({"Mumbai","Delhi","Bangalore","Ahmedabad","Chennai"}, RANDBETWEEN(1,5))</f>
        <v>Mumbai</v>
      </c>
      <c r="E561" s="5" t="str" cm="1">
        <f t="array" aca="1" ref="E561" ca="1">INDEX({"Electronics","Groceries","Furniture","Clothing","Stationery"}, RANDBETWEEN(1,5))</f>
        <v>Furniture</v>
      </c>
      <c r="F561" s="5" t="str">
        <f t="shared" ca="1" si="41"/>
        <v>Table</v>
      </c>
      <c r="G561" s="8">
        <f t="shared" ca="1" si="42"/>
        <v>94</v>
      </c>
      <c r="H561" s="10">
        <f t="shared" ca="1" si="43"/>
        <v>500</v>
      </c>
      <c r="I561" s="10">
        <f t="shared" ca="1" si="44"/>
        <v>47000</v>
      </c>
      <c r="J561" s="10">
        <f ca="1">Table2[[#This Row],[Unit Price]] * RANDBETWEEN(70,90)/100</f>
        <v>405</v>
      </c>
      <c r="K561" s="12">
        <f ca="1">(Table2[[#This Row],[Unit Price]] - Table2[[#This Row],[Cost per Unit]]) * Table2[[#This Row],[Units Sold]]</f>
        <v>8930</v>
      </c>
    </row>
    <row r="562" spans="1:11" ht="15.6" x14ac:dyDescent="0.3">
      <c r="A562" s="5" cm="1">
        <f t="array" ref="A562">1000 + ROW(562:562)</f>
        <v>1562</v>
      </c>
      <c r="B562" s="6">
        <f t="shared" ca="1" si="40"/>
        <v>45355</v>
      </c>
      <c r="C562" s="5" t="str" cm="1">
        <f t="array" aca="1" ref="C562" ca="1">INDEX({"S001","S002","S003","S004","S005"}, RANDBETWEEN(1,5))</f>
        <v>S004</v>
      </c>
      <c r="D562" s="5" t="str" cm="1">
        <f t="array" aca="1" ref="D562" ca="1">INDEX({"Mumbai","Delhi","Bangalore","Ahmedabad","Chennai"}, RANDBETWEEN(1,5))</f>
        <v>Mumbai</v>
      </c>
      <c r="E562" s="5" t="str" cm="1">
        <f t="array" aca="1" ref="E562" ca="1">INDEX({"Electronics","Groceries","Furniture","Clothing","Stationery"}, RANDBETWEEN(1,5))</f>
        <v>Clothing</v>
      </c>
      <c r="F562" s="5" t="str">
        <f t="shared" ca="1" si="41"/>
        <v>Cooking Oil 1L</v>
      </c>
      <c r="G562" s="8">
        <f t="shared" ca="1" si="42"/>
        <v>1</v>
      </c>
      <c r="H562" s="10">
        <f t="shared" ca="1" si="43"/>
        <v>900</v>
      </c>
      <c r="I562" s="10">
        <f t="shared" ca="1" si="44"/>
        <v>900</v>
      </c>
      <c r="J562" s="10">
        <f ca="1">Table2[[#This Row],[Unit Price]] * RANDBETWEEN(70,90)/100</f>
        <v>738</v>
      </c>
      <c r="K562" s="12">
        <f ca="1">(Table2[[#This Row],[Unit Price]] - Table2[[#This Row],[Cost per Unit]]) * Table2[[#This Row],[Units Sold]]</f>
        <v>162</v>
      </c>
    </row>
    <row r="563" spans="1:11" ht="15.6" x14ac:dyDescent="0.3">
      <c r="A563" s="5" cm="1">
        <f t="array" ref="A563">1000 + ROW(563:563)</f>
        <v>1563</v>
      </c>
      <c r="B563" s="6">
        <f t="shared" ca="1" si="40"/>
        <v>45306</v>
      </c>
      <c r="C563" s="5" t="str" cm="1">
        <f t="array" aca="1" ref="C563" ca="1">INDEX({"S001","S002","S003","S004","S005"}, RANDBETWEEN(1,5))</f>
        <v>S004</v>
      </c>
      <c r="D563" s="5" t="str" cm="1">
        <f t="array" aca="1" ref="D563" ca="1">INDEX({"Mumbai","Delhi","Bangalore","Ahmedabad","Chennai"}, RANDBETWEEN(1,5))</f>
        <v>Delhi</v>
      </c>
      <c r="E563" s="5" t="str" cm="1">
        <f t="array" aca="1" ref="E563" ca="1">INDEX({"Electronics","Groceries","Furniture","Clothing","Stationery"}, RANDBETWEEN(1,5))</f>
        <v>Electronics</v>
      </c>
      <c r="F563" s="5" t="str">
        <f t="shared" ca="1" si="41"/>
        <v>Desk Lamp</v>
      </c>
      <c r="G563" s="8">
        <f t="shared" ca="1" si="42"/>
        <v>14</v>
      </c>
      <c r="H563" s="10">
        <f t="shared" ca="1" si="43"/>
        <v>300</v>
      </c>
      <c r="I563" s="10">
        <f t="shared" ca="1" si="44"/>
        <v>4200</v>
      </c>
      <c r="J563" s="10">
        <f ca="1">Table2[[#This Row],[Unit Price]] * RANDBETWEEN(70,90)/100</f>
        <v>258</v>
      </c>
      <c r="K563" s="12">
        <f ca="1">(Table2[[#This Row],[Unit Price]] - Table2[[#This Row],[Cost per Unit]]) * Table2[[#This Row],[Units Sold]]</f>
        <v>588</v>
      </c>
    </row>
    <row r="564" spans="1:11" ht="15.6" x14ac:dyDescent="0.3">
      <c r="A564" s="5" cm="1">
        <f t="array" ref="A564">1000 + ROW(564:564)</f>
        <v>1564</v>
      </c>
      <c r="B564" s="6">
        <f t="shared" ca="1" si="40"/>
        <v>45303</v>
      </c>
      <c r="C564" s="5" t="str" cm="1">
        <f t="array" aca="1" ref="C564" ca="1">INDEX({"S001","S002","S003","S004","S005"}, RANDBETWEEN(1,5))</f>
        <v>S003</v>
      </c>
      <c r="D564" s="5" t="str" cm="1">
        <f t="array" aca="1" ref="D564" ca="1">INDEX({"Mumbai","Delhi","Bangalore","Ahmedabad","Chennai"}, RANDBETWEEN(1,5))</f>
        <v>Delhi</v>
      </c>
      <c r="E564" s="5" t="str" cm="1">
        <f t="array" aca="1" ref="E564" ca="1">INDEX({"Electronics","Groceries","Furniture","Clothing","Stationery"}, RANDBETWEEN(1,5))</f>
        <v>Electronics</v>
      </c>
      <c r="F564" s="5" t="str">
        <f t="shared" ca="1" si="41"/>
        <v>Cooking Oil 1L</v>
      </c>
      <c r="G564" s="8">
        <f t="shared" ca="1" si="42"/>
        <v>93</v>
      </c>
      <c r="H564" s="10">
        <f t="shared" ca="1" si="43"/>
        <v>150</v>
      </c>
      <c r="I564" s="10">
        <f t="shared" ca="1" si="44"/>
        <v>13950</v>
      </c>
      <c r="J564" s="10">
        <f ca="1">Table2[[#This Row],[Unit Price]] * RANDBETWEEN(70,90)/100</f>
        <v>124.5</v>
      </c>
      <c r="K564" s="12">
        <f ca="1">(Table2[[#This Row],[Unit Price]] - Table2[[#This Row],[Cost per Unit]]) * Table2[[#This Row],[Units Sold]]</f>
        <v>2371.5</v>
      </c>
    </row>
    <row r="565" spans="1:11" ht="15.6" x14ac:dyDescent="0.3">
      <c r="A565" s="5" cm="1">
        <f t="array" ref="A565">1000 + ROW(565:565)</f>
        <v>1565</v>
      </c>
      <c r="B565" s="6">
        <f t="shared" ca="1" si="40"/>
        <v>45332</v>
      </c>
      <c r="C565" s="5" t="str" cm="1">
        <f t="array" aca="1" ref="C565" ca="1">INDEX({"S001","S002","S003","S004","S005"}, RANDBETWEEN(1,5))</f>
        <v>S005</v>
      </c>
      <c r="D565" s="5" t="str" cm="1">
        <f t="array" aca="1" ref="D565" ca="1">INDEX({"Mumbai","Delhi","Bangalore","Ahmedabad","Chennai"}, RANDBETWEEN(1,5))</f>
        <v>Delhi</v>
      </c>
      <c r="E565" s="5" t="str" cm="1">
        <f t="array" aca="1" ref="E565" ca="1">INDEX({"Electronics","Groceries","Furniture","Clothing","Stationery"}, RANDBETWEEN(1,5))</f>
        <v>Electronics</v>
      </c>
      <c r="F565" s="5" t="str">
        <f t="shared" ca="1" si="41"/>
        <v>Table</v>
      </c>
      <c r="G565" s="8">
        <f t="shared" ca="1" si="42"/>
        <v>32</v>
      </c>
      <c r="H565" s="10">
        <f t="shared" ca="1" si="43"/>
        <v>1200</v>
      </c>
      <c r="I565" s="10">
        <f t="shared" ca="1" si="44"/>
        <v>38400</v>
      </c>
      <c r="J565" s="10">
        <f ca="1">Table2[[#This Row],[Unit Price]] * RANDBETWEEN(70,90)/100</f>
        <v>996</v>
      </c>
      <c r="K565" s="12">
        <f ca="1">(Table2[[#This Row],[Unit Price]] - Table2[[#This Row],[Cost per Unit]]) * Table2[[#This Row],[Units Sold]]</f>
        <v>6528</v>
      </c>
    </row>
    <row r="566" spans="1:11" ht="15.6" x14ac:dyDescent="0.3">
      <c r="A566" s="5" cm="1">
        <f t="array" ref="A566">1000 + ROW(566:566)</f>
        <v>1566</v>
      </c>
      <c r="B566" s="6">
        <f t="shared" ca="1" si="40"/>
        <v>45328</v>
      </c>
      <c r="C566" s="5" t="str" cm="1">
        <f t="array" aca="1" ref="C566" ca="1">INDEX({"S001","S002","S003","S004","S005"}, RANDBETWEEN(1,5))</f>
        <v>S001</v>
      </c>
      <c r="D566" s="5" t="str" cm="1">
        <f t="array" aca="1" ref="D566" ca="1">INDEX({"Mumbai","Delhi","Bangalore","Ahmedabad","Chennai"}, RANDBETWEEN(1,5))</f>
        <v>Delhi</v>
      </c>
      <c r="E566" s="5" t="str" cm="1">
        <f t="array" aca="1" ref="E566" ca="1">INDEX({"Electronics","Groceries","Furniture","Clothing","Stationery"}, RANDBETWEEN(1,5))</f>
        <v>Groceries</v>
      </c>
      <c r="F566" s="5" t="str">
        <f t="shared" ca="1" si="41"/>
        <v>Desk Lamp</v>
      </c>
      <c r="G566" s="8">
        <f t="shared" ca="1" si="42"/>
        <v>63</v>
      </c>
      <c r="H566" s="10">
        <f t="shared" ca="1" si="43"/>
        <v>1200</v>
      </c>
      <c r="I566" s="10">
        <f t="shared" ca="1" si="44"/>
        <v>75600</v>
      </c>
      <c r="J566" s="10">
        <f ca="1">Table2[[#This Row],[Unit Price]] * RANDBETWEEN(70,90)/100</f>
        <v>912</v>
      </c>
      <c r="K566" s="12">
        <f ca="1">(Table2[[#This Row],[Unit Price]] - Table2[[#This Row],[Cost per Unit]]) * Table2[[#This Row],[Units Sold]]</f>
        <v>18144</v>
      </c>
    </row>
    <row r="567" spans="1:11" ht="15.6" x14ac:dyDescent="0.3">
      <c r="A567" s="5" cm="1">
        <f t="array" ref="A567">1000 + ROW(567:567)</f>
        <v>1567</v>
      </c>
      <c r="B567" s="6">
        <f t="shared" ca="1" si="40"/>
        <v>45341</v>
      </c>
      <c r="C567" s="5" t="str" cm="1">
        <f t="array" aca="1" ref="C567" ca="1">INDEX({"S001","S002","S003","S004","S005"}, RANDBETWEEN(1,5))</f>
        <v>S002</v>
      </c>
      <c r="D567" s="5" t="str" cm="1">
        <f t="array" aca="1" ref="D567" ca="1">INDEX({"Mumbai","Delhi","Bangalore","Ahmedabad","Chennai"}, RANDBETWEEN(1,5))</f>
        <v>Ahmedabad</v>
      </c>
      <c r="E567" s="5" t="str" cm="1">
        <f t="array" aca="1" ref="E567" ca="1">INDEX({"Electronics","Groceries","Furniture","Clothing","Stationery"}, RANDBETWEEN(1,5))</f>
        <v>Stationery</v>
      </c>
      <c r="F567" s="5" t="str">
        <f t="shared" ca="1" si="41"/>
        <v>Laptop</v>
      </c>
      <c r="G567" s="8">
        <f t="shared" ca="1" si="42"/>
        <v>13</v>
      </c>
      <c r="H567" s="10">
        <f t="shared" ca="1" si="43"/>
        <v>1200</v>
      </c>
      <c r="I567" s="10">
        <f t="shared" ca="1" si="44"/>
        <v>15600</v>
      </c>
      <c r="J567" s="10">
        <f ca="1">Table2[[#This Row],[Unit Price]] * RANDBETWEEN(70,90)/100</f>
        <v>984</v>
      </c>
      <c r="K567" s="12">
        <f ca="1">(Table2[[#This Row],[Unit Price]] - Table2[[#This Row],[Cost per Unit]]) * Table2[[#This Row],[Units Sold]]</f>
        <v>2808</v>
      </c>
    </row>
    <row r="568" spans="1:11" ht="15.6" x14ac:dyDescent="0.3">
      <c r="A568" s="5" cm="1">
        <f t="array" ref="A568">1000 + ROW(568:568)</f>
        <v>1568</v>
      </c>
      <c r="B568" s="6">
        <f t="shared" ca="1" si="40"/>
        <v>45299</v>
      </c>
      <c r="C568" s="5" t="str" cm="1">
        <f t="array" aca="1" ref="C568" ca="1">INDEX({"S001","S002","S003","S004","S005"}, RANDBETWEEN(1,5))</f>
        <v>S002</v>
      </c>
      <c r="D568" s="5" t="str" cm="1">
        <f t="array" aca="1" ref="D568" ca="1">INDEX({"Mumbai","Delhi","Bangalore","Ahmedabad","Chennai"}, RANDBETWEEN(1,5))</f>
        <v>Chennai</v>
      </c>
      <c r="E568" s="5" t="str" cm="1">
        <f t="array" aca="1" ref="E568" ca="1">INDEX({"Electronics","Groceries","Furniture","Clothing","Stationery"}, RANDBETWEEN(1,5))</f>
        <v>Clothing</v>
      </c>
      <c r="F568" s="5" t="str">
        <f t="shared" ca="1" si="41"/>
        <v>Cooking Oil 1L</v>
      </c>
      <c r="G568" s="8">
        <f t="shared" ca="1" si="42"/>
        <v>37</v>
      </c>
      <c r="H568" s="10">
        <f t="shared" ca="1" si="43"/>
        <v>150</v>
      </c>
      <c r="I568" s="10">
        <f t="shared" ca="1" si="44"/>
        <v>5550</v>
      </c>
      <c r="J568" s="10">
        <f ca="1">Table2[[#This Row],[Unit Price]] * RANDBETWEEN(70,90)/100</f>
        <v>127.5</v>
      </c>
      <c r="K568" s="12">
        <f ca="1">(Table2[[#This Row],[Unit Price]] - Table2[[#This Row],[Cost per Unit]]) * Table2[[#This Row],[Units Sold]]</f>
        <v>832.5</v>
      </c>
    </row>
    <row r="569" spans="1:11" ht="15.6" x14ac:dyDescent="0.3">
      <c r="A569" s="5" cm="1">
        <f t="array" ref="A569">1000 + ROW(569:569)</f>
        <v>1569</v>
      </c>
      <c r="B569" s="6">
        <f t="shared" ca="1" si="40"/>
        <v>45312</v>
      </c>
      <c r="C569" s="5" t="str" cm="1">
        <f t="array" aca="1" ref="C569" ca="1">INDEX({"S001","S002","S003","S004","S005"}, RANDBETWEEN(1,5))</f>
        <v>S003</v>
      </c>
      <c r="D569" s="5" t="str" cm="1">
        <f t="array" aca="1" ref="D569" ca="1">INDEX({"Mumbai","Delhi","Bangalore","Ahmedabad","Chennai"}, RANDBETWEEN(1,5))</f>
        <v>Ahmedabad</v>
      </c>
      <c r="E569" s="5" t="str" cm="1">
        <f t="array" aca="1" ref="E569" ca="1">INDEX({"Electronics","Groceries","Furniture","Clothing","Stationery"}, RANDBETWEEN(1,5))</f>
        <v>Furniture</v>
      </c>
      <c r="F569" s="5" t="str">
        <f t="shared" ca="1" si="41"/>
        <v>Office Chair</v>
      </c>
      <c r="G569" s="8">
        <f t="shared" ca="1" si="42"/>
        <v>81</v>
      </c>
      <c r="H569" s="10">
        <f t="shared" ca="1" si="43"/>
        <v>900</v>
      </c>
      <c r="I569" s="10">
        <f t="shared" ca="1" si="44"/>
        <v>72900</v>
      </c>
      <c r="J569" s="10">
        <f ca="1">Table2[[#This Row],[Unit Price]] * RANDBETWEEN(70,90)/100</f>
        <v>801</v>
      </c>
      <c r="K569" s="12">
        <f ca="1">(Table2[[#This Row],[Unit Price]] - Table2[[#This Row],[Cost per Unit]]) * Table2[[#This Row],[Units Sold]]</f>
        <v>8019</v>
      </c>
    </row>
    <row r="570" spans="1:11" ht="15.6" x14ac:dyDescent="0.3">
      <c r="A570" s="5" cm="1">
        <f t="array" ref="A570">1000 + ROW(570:570)</f>
        <v>1570</v>
      </c>
      <c r="B570" s="6">
        <f t="shared" ca="1" si="40"/>
        <v>45342</v>
      </c>
      <c r="C570" s="5" t="str" cm="1">
        <f t="array" aca="1" ref="C570" ca="1">INDEX({"S001","S002","S003","S004","S005"}, RANDBETWEEN(1,5))</f>
        <v>S003</v>
      </c>
      <c r="D570" s="5" t="str" cm="1">
        <f t="array" aca="1" ref="D570" ca="1">INDEX({"Mumbai","Delhi","Bangalore","Ahmedabad","Chennai"}, RANDBETWEEN(1,5))</f>
        <v>Mumbai</v>
      </c>
      <c r="E570" s="5" t="str" cm="1">
        <f t="array" aca="1" ref="E570" ca="1">INDEX({"Electronics","Groceries","Furniture","Clothing","Stationery"}, RANDBETWEEN(1,5))</f>
        <v>Groceries</v>
      </c>
      <c r="F570" s="5" t="str">
        <f t="shared" ca="1" si="41"/>
        <v>Desk Lamp</v>
      </c>
      <c r="G570" s="8">
        <f t="shared" ca="1" si="42"/>
        <v>54</v>
      </c>
      <c r="H570" s="10">
        <f t="shared" ca="1" si="43"/>
        <v>1200</v>
      </c>
      <c r="I570" s="10">
        <f t="shared" ca="1" si="44"/>
        <v>64800</v>
      </c>
      <c r="J570" s="10">
        <f ca="1">Table2[[#This Row],[Unit Price]] * RANDBETWEEN(70,90)/100</f>
        <v>1020</v>
      </c>
      <c r="K570" s="12">
        <f ca="1">(Table2[[#This Row],[Unit Price]] - Table2[[#This Row],[Cost per Unit]]) * Table2[[#This Row],[Units Sold]]</f>
        <v>9720</v>
      </c>
    </row>
    <row r="571" spans="1:11" ht="15.6" x14ac:dyDescent="0.3">
      <c r="A571" s="5" cm="1">
        <f t="array" ref="A571">1000 + ROW(571:571)</f>
        <v>1571</v>
      </c>
      <c r="B571" s="6">
        <f t="shared" ca="1" si="40"/>
        <v>45310</v>
      </c>
      <c r="C571" s="5" t="str" cm="1">
        <f t="array" aca="1" ref="C571" ca="1">INDEX({"S001","S002","S003","S004","S005"}, RANDBETWEEN(1,5))</f>
        <v>S002</v>
      </c>
      <c r="D571" s="5" t="str" cm="1">
        <f t="array" aca="1" ref="D571" ca="1">INDEX({"Mumbai","Delhi","Bangalore","Ahmedabad","Chennai"}, RANDBETWEEN(1,5))</f>
        <v>Mumbai</v>
      </c>
      <c r="E571" s="5" t="str" cm="1">
        <f t="array" aca="1" ref="E571" ca="1">INDEX({"Electronics","Groceries","Furniture","Clothing","Stationery"}, RANDBETWEEN(1,5))</f>
        <v>Clothing</v>
      </c>
      <c r="F571" s="5" t="str">
        <f t="shared" ca="1" si="41"/>
        <v>Laptop</v>
      </c>
      <c r="G571" s="8">
        <f t="shared" ca="1" si="42"/>
        <v>41</v>
      </c>
      <c r="H571" s="10">
        <f t="shared" ca="1" si="43"/>
        <v>30000</v>
      </c>
      <c r="I571" s="10">
        <f t="shared" ca="1" si="44"/>
        <v>1230000</v>
      </c>
      <c r="J571" s="10">
        <f ca="1">Table2[[#This Row],[Unit Price]] * RANDBETWEEN(70,90)/100</f>
        <v>24900</v>
      </c>
      <c r="K571" s="12">
        <f ca="1">(Table2[[#This Row],[Unit Price]] - Table2[[#This Row],[Cost per Unit]]) * Table2[[#This Row],[Units Sold]]</f>
        <v>209100</v>
      </c>
    </row>
    <row r="572" spans="1:11" ht="15.6" x14ac:dyDescent="0.3">
      <c r="A572" s="5" cm="1">
        <f t="array" ref="A572">1000 + ROW(572:572)</f>
        <v>1572</v>
      </c>
      <c r="B572" s="6">
        <f t="shared" ca="1" si="40"/>
        <v>45315</v>
      </c>
      <c r="C572" s="5" t="str" cm="1">
        <f t="array" aca="1" ref="C572" ca="1">INDEX({"S001","S002","S003","S004","S005"}, RANDBETWEEN(1,5))</f>
        <v>S004</v>
      </c>
      <c r="D572" s="5" t="str" cm="1">
        <f t="array" aca="1" ref="D572" ca="1">INDEX({"Mumbai","Delhi","Bangalore","Ahmedabad","Chennai"}, RANDBETWEEN(1,5))</f>
        <v>Chennai</v>
      </c>
      <c r="E572" s="5" t="str" cm="1">
        <f t="array" aca="1" ref="E572" ca="1">INDEX({"Electronics","Groceries","Furniture","Clothing","Stationery"}, RANDBETWEEN(1,5))</f>
        <v>Clothing</v>
      </c>
      <c r="F572" s="5" t="str">
        <f t="shared" ca="1" si="41"/>
        <v>Office Chair</v>
      </c>
      <c r="G572" s="8">
        <f t="shared" ca="1" si="42"/>
        <v>79</v>
      </c>
      <c r="H572" s="10">
        <f t="shared" ca="1" si="43"/>
        <v>150</v>
      </c>
      <c r="I572" s="10">
        <f t="shared" ca="1" si="44"/>
        <v>11850</v>
      </c>
      <c r="J572" s="10">
        <f ca="1">Table2[[#This Row],[Unit Price]] * RANDBETWEEN(70,90)/100</f>
        <v>124.5</v>
      </c>
      <c r="K572" s="12">
        <f ca="1">(Table2[[#This Row],[Unit Price]] - Table2[[#This Row],[Cost per Unit]]) * Table2[[#This Row],[Units Sold]]</f>
        <v>2014.5</v>
      </c>
    </row>
    <row r="573" spans="1:11" ht="15.6" x14ac:dyDescent="0.3">
      <c r="A573" s="5" cm="1">
        <f t="array" ref="A573">1000 + ROW(573:573)</f>
        <v>1573</v>
      </c>
      <c r="B573" s="6">
        <f t="shared" ca="1" si="40"/>
        <v>45326</v>
      </c>
      <c r="C573" s="5" t="str" cm="1">
        <f t="array" aca="1" ref="C573" ca="1">INDEX({"S001","S002","S003","S004","S005"}, RANDBETWEEN(1,5))</f>
        <v>S004</v>
      </c>
      <c r="D573" s="5" t="str" cm="1">
        <f t="array" aca="1" ref="D573" ca="1">INDEX({"Mumbai","Delhi","Bangalore","Ahmedabad","Chennai"}, RANDBETWEEN(1,5))</f>
        <v>Mumbai</v>
      </c>
      <c r="E573" s="5" t="str" cm="1">
        <f t="array" aca="1" ref="E573" ca="1">INDEX({"Electronics","Groceries","Furniture","Clothing","Stationery"}, RANDBETWEEN(1,5))</f>
        <v>Clothing</v>
      </c>
      <c r="F573" s="5" t="str">
        <f t="shared" ca="1" si="41"/>
        <v>Table</v>
      </c>
      <c r="G573" s="8">
        <f t="shared" ca="1" si="42"/>
        <v>61</v>
      </c>
      <c r="H573" s="10">
        <f t="shared" ca="1" si="43"/>
        <v>300</v>
      </c>
      <c r="I573" s="10">
        <f t="shared" ca="1" si="44"/>
        <v>18300</v>
      </c>
      <c r="J573" s="10">
        <f ca="1">Table2[[#This Row],[Unit Price]] * RANDBETWEEN(70,90)/100</f>
        <v>246</v>
      </c>
      <c r="K573" s="12">
        <f ca="1">(Table2[[#This Row],[Unit Price]] - Table2[[#This Row],[Cost per Unit]]) * Table2[[#This Row],[Units Sold]]</f>
        <v>3294</v>
      </c>
    </row>
    <row r="574" spans="1:11" ht="15.6" x14ac:dyDescent="0.3">
      <c r="A574" s="5" cm="1">
        <f t="array" ref="A574">1000 + ROW(574:574)</f>
        <v>1574</v>
      </c>
      <c r="B574" s="6">
        <f t="shared" ca="1" si="40"/>
        <v>45370</v>
      </c>
      <c r="C574" s="5" t="str" cm="1">
        <f t="array" aca="1" ref="C574" ca="1">INDEX({"S001","S002","S003","S004","S005"}, RANDBETWEEN(1,5))</f>
        <v>S004</v>
      </c>
      <c r="D574" s="5" t="str" cm="1">
        <f t="array" aca="1" ref="D574" ca="1">INDEX({"Mumbai","Delhi","Bangalore","Ahmedabad","Chennai"}, RANDBETWEEN(1,5))</f>
        <v>Delhi</v>
      </c>
      <c r="E574" s="5" t="str" cm="1">
        <f t="array" aca="1" ref="E574" ca="1">INDEX({"Electronics","Groceries","Furniture","Clothing","Stationery"}, RANDBETWEEN(1,5))</f>
        <v>Clothing</v>
      </c>
      <c r="F574" s="5" t="str">
        <f t="shared" ca="1" si="41"/>
        <v>Table</v>
      </c>
      <c r="G574" s="8">
        <f t="shared" ca="1" si="42"/>
        <v>82</v>
      </c>
      <c r="H574" s="10">
        <f t="shared" ca="1" si="43"/>
        <v>1200</v>
      </c>
      <c r="I574" s="10">
        <f t="shared" ca="1" si="44"/>
        <v>98400</v>
      </c>
      <c r="J574" s="10">
        <f ca="1">Table2[[#This Row],[Unit Price]] * RANDBETWEEN(70,90)/100</f>
        <v>900</v>
      </c>
      <c r="K574" s="12">
        <f ca="1">(Table2[[#This Row],[Unit Price]] - Table2[[#This Row],[Cost per Unit]]) * Table2[[#This Row],[Units Sold]]</f>
        <v>24600</v>
      </c>
    </row>
    <row r="575" spans="1:11" ht="15.6" x14ac:dyDescent="0.3">
      <c r="A575" s="5" cm="1">
        <f t="array" ref="A575">1000 + ROW(575:575)</f>
        <v>1575</v>
      </c>
      <c r="B575" s="6">
        <f t="shared" ca="1" si="40"/>
        <v>45356</v>
      </c>
      <c r="C575" s="5" t="str" cm="1">
        <f t="array" aca="1" ref="C575" ca="1">INDEX({"S001","S002","S003","S004","S005"}, RANDBETWEEN(1,5))</f>
        <v>S001</v>
      </c>
      <c r="D575" s="5" t="str" cm="1">
        <f t="array" aca="1" ref="D575" ca="1">INDEX({"Mumbai","Delhi","Bangalore","Ahmedabad","Chennai"}, RANDBETWEEN(1,5))</f>
        <v>Chennai</v>
      </c>
      <c r="E575" s="5" t="str" cm="1">
        <f t="array" aca="1" ref="E575" ca="1">INDEX({"Electronics","Groceries","Furniture","Clothing","Stationery"}, RANDBETWEEN(1,5))</f>
        <v>Electronics</v>
      </c>
      <c r="F575" s="5" t="str">
        <f t="shared" ca="1" si="41"/>
        <v>Office Chair</v>
      </c>
      <c r="G575" s="8">
        <f t="shared" ca="1" si="42"/>
        <v>57</v>
      </c>
      <c r="H575" s="10">
        <f t="shared" ca="1" si="43"/>
        <v>150</v>
      </c>
      <c r="I575" s="10">
        <f t="shared" ca="1" si="44"/>
        <v>8550</v>
      </c>
      <c r="J575" s="10">
        <f ca="1">Table2[[#This Row],[Unit Price]] * RANDBETWEEN(70,90)/100</f>
        <v>115.5</v>
      </c>
      <c r="K575" s="12">
        <f ca="1">(Table2[[#This Row],[Unit Price]] - Table2[[#This Row],[Cost per Unit]]) * Table2[[#This Row],[Units Sold]]</f>
        <v>1966.5</v>
      </c>
    </row>
    <row r="576" spans="1:11" ht="15.6" x14ac:dyDescent="0.3">
      <c r="A576" s="5" cm="1">
        <f t="array" ref="A576">1000 + ROW(576:576)</f>
        <v>1576</v>
      </c>
      <c r="B576" s="6">
        <f t="shared" ca="1" si="40"/>
        <v>45312</v>
      </c>
      <c r="C576" s="5" t="str" cm="1">
        <f t="array" aca="1" ref="C576" ca="1">INDEX({"S001","S002","S003","S004","S005"}, RANDBETWEEN(1,5))</f>
        <v>S004</v>
      </c>
      <c r="D576" s="5" t="str" cm="1">
        <f t="array" aca="1" ref="D576" ca="1">INDEX({"Mumbai","Delhi","Bangalore","Ahmedabad","Chennai"}, RANDBETWEEN(1,5))</f>
        <v>Delhi</v>
      </c>
      <c r="E576" s="5" t="str" cm="1">
        <f t="array" aca="1" ref="E576" ca="1">INDEX({"Electronics","Groceries","Furniture","Clothing","Stationery"}, RANDBETWEEN(1,5))</f>
        <v>Furniture</v>
      </c>
      <c r="F576" s="5" t="str">
        <f t="shared" ca="1" si="41"/>
        <v>T-shirt</v>
      </c>
      <c r="G576" s="8">
        <f t="shared" ca="1" si="42"/>
        <v>67</v>
      </c>
      <c r="H576" s="10">
        <f t="shared" ca="1" si="43"/>
        <v>1200</v>
      </c>
      <c r="I576" s="10">
        <f t="shared" ca="1" si="44"/>
        <v>80400</v>
      </c>
      <c r="J576" s="10">
        <f ca="1">Table2[[#This Row],[Unit Price]] * RANDBETWEEN(70,90)/100</f>
        <v>900</v>
      </c>
      <c r="K576" s="12">
        <f ca="1">(Table2[[#This Row],[Unit Price]] - Table2[[#This Row],[Cost per Unit]]) * Table2[[#This Row],[Units Sold]]</f>
        <v>20100</v>
      </c>
    </row>
    <row r="577" spans="1:11" ht="15.6" x14ac:dyDescent="0.3">
      <c r="A577" s="5" cm="1">
        <f t="array" ref="A577">1000 + ROW(577:577)</f>
        <v>1577</v>
      </c>
      <c r="B577" s="6">
        <f t="shared" ca="1" si="40"/>
        <v>45323</v>
      </c>
      <c r="C577" s="5" t="str" cm="1">
        <f t="array" aca="1" ref="C577" ca="1">INDEX({"S001","S002","S003","S004","S005"}, RANDBETWEEN(1,5))</f>
        <v>S001</v>
      </c>
      <c r="D577" s="5" t="str" cm="1">
        <f t="array" aca="1" ref="D577" ca="1">INDEX({"Mumbai","Delhi","Bangalore","Ahmedabad","Chennai"}, RANDBETWEEN(1,5))</f>
        <v>Mumbai</v>
      </c>
      <c r="E577" s="5" t="str" cm="1">
        <f t="array" aca="1" ref="E577" ca="1">INDEX({"Electronics","Groceries","Furniture","Clothing","Stationery"}, RANDBETWEEN(1,5))</f>
        <v>Stationery</v>
      </c>
      <c r="F577" s="5" t="str">
        <f t="shared" ca="1" si="41"/>
        <v>Office Chair</v>
      </c>
      <c r="G577" s="8">
        <f t="shared" ca="1" si="42"/>
        <v>37</v>
      </c>
      <c r="H577" s="10">
        <f t="shared" ca="1" si="43"/>
        <v>50</v>
      </c>
      <c r="I577" s="10">
        <f t="shared" ca="1" si="44"/>
        <v>1850</v>
      </c>
      <c r="J577" s="10">
        <f ca="1">Table2[[#This Row],[Unit Price]] * RANDBETWEEN(70,90)/100</f>
        <v>35</v>
      </c>
      <c r="K577" s="12">
        <f ca="1">(Table2[[#This Row],[Unit Price]] - Table2[[#This Row],[Cost per Unit]]) * Table2[[#This Row],[Units Sold]]</f>
        <v>555</v>
      </c>
    </row>
    <row r="578" spans="1:11" ht="15.6" x14ac:dyDescent="0.3">
      <c r="A578" s="5" cm="1">
        <f t="array" ref="A578">1000 + ROW(578:578)</f>
        <v>1578</v>
      </c>
      <c r="B578" s="6">
        <f t="shared" ref="B578:B641" ca="1" si="45">RANDBETWEEN(DATE(2024,1,1), DATE(2024,3,31))</f>
        <v>45358</v>
      </c>
      <c r="C578" s="5" t="str" cm="1">
        <f t="array" aca="1" ref="C578" ca="1">INDEX({"S001","S002","S003","S004","S005"}, RANDBETWEEN(1,5))</f>
        <v>S004</v>
      </c>
      <c r="D578" s="5" t="str" cm="1">
        <f t="array" aca="1" ref="D578" ca="1">INDEX({"Mumbai","Delhi","Bangalore","Ahmedabad","Chennai"}, RANDBETWEEN(1,5))</f>
        <v>Ahmedabad</v>
      </c>
      <c r="E578" s="5" t="str" cm="1">
        <f t="array" aca="1" ref="E578" ca="1">INDEX({"Electronics","Groceries","Furniture","Clothing","Stationery"}, RANDBETWEEN(1,5))</f>
        <v>Groceries</v>
      </c>
      <c r="F578" s="5" t="str">
        <f t="shared" ref="F578:F641" ca="1" si="46">CHOOSE(RANDBETWEEN(1,10),
 "Smartphone","Laptop","Rice 5kg","Cooking Oil 1L",
 "Office Chair","Table","T-shirt","Notebook",
 "Desk Lamp","Shampoo")</f>
        <v>T-shirt</v>
      </c>
      <c r="G578" s="8">
        <f t="shared" ref="G578:G641" ca="1" si="47">RANDBETWEEN(1,100)</f>
        <v>59</v>
      </c>
      <c r="H578" s="10">
        <f t="shared" ref="H578:H641" ca="1" si="48">CHOOSE(RANDBETWEEN(1,10), 15000, 30000, 250, 500, 1200, 700, 300, 50, 900, 150)</f>
        <v>250</v>
      </c>
      <c r="I578" s="10">
        <f t="shared" ref="I578:I641" ca="1" si="49">G578 * H578</f>
        <v>14750</v>
      </c>
      <c r="J578" s="10">
        <f ca="1">Table2[[#This Row],[Unit Price]] * RANDBETWEEN(70,90)/100</f>
        <v>220</v>
      </c>
      <c r="K578" s="12">
        <f ca="1">(Table2[[#This Row],[Unit Price]] - Table2[[#This Row],[Cost per Unit]]) * Table2[[#This Row],[Units Sold]]</f>
        <v>1770</v>
      </c>
    </row>
    <row r="579" spans="1:11" ht="15.6" x14ac:dyDescent="0.3">
      <c r="A579" s="5" cm="1">
        <f t="array" ref="A579">1000 + ROW(579:579)</f>
        <v>1579</v>
      </c>
      <c r="B579" s="6">
        <f t="shared" ca="1" si="45"/>
        <v>45369</v>
      </c>
      <c r="C579" s="5" t="str" cm="1">
        <f t="array" aca="1" ref="C579" ca="1">INDEX({"S001","S002","S003","S004","S005"}, RANDBETWEEN(1,5))</f>
        <v>S002</v>
      </c>
      <c r="D579" s="5" t="str" cm="1">
        <f t="array" aca="1" ref="D579" ca="1">INDEX({"Mumbai","Delhi","Bangalore","Ahmedabad","Chennai"}, RANDBETWEEN(1,5))</f>
        <v>Bangalore</v>
      </c>
      <c r="E579" s="5" t="str" cm="1">
        <f t="array" aca="1" ref="E579" ca="1">INDEX({"Electronics","Groceries","Furniture","Clothing","Stationery"}, RANDBETWEEN(1,5))</f>
        <v>Furniture</v>
      </c>
      <c r="F579" s="5" t="str">
        <f t="shared" ca="1" si="46"/>
        <v>T-shirt</v>
      </c>
      <c r="G579" s="8">
        <f t="shared" ca="1" si="47"/>
        <v>48</v>
      </c>
      <c r="H579" s="10">
        <f t="shared" ca="1" si="48"/>
        <v>700</v>
      </c>
      <c r="I579" s="10">
        <f t="shared" ca="1" si="49"/>
        <v>33600</v>
      </c>
      <c r="J579" s="10">
        <f ca="1">Table2[[#This Row],[Unit Price]] * RANDBETWEEN(70,90)/100</f>
        <v>602</v>
      </c>
      <c r="K579" s="12">
        <f ca="1">(Table2[[#This Row],[Unit Price]] - Table2[[#This Row],[Cost per Unit]]) * Table2[[#This Row],[Units Sold]]</f>
        <v>4704</v>
      </c>
    </row>
    <row r="580" spans="1:11" ht="15.6" x14ac:dyDescent="0.3">
      <c r="A580" s="5" cm="1">
        <f t="array" ref="A580">1000 + ROW(580:580)</f>
        <v>1580</v>
      </c>
      <c r="B580" s="6">
        <f t="shared" ca="1" si="45"/>
        <v>45332</v>
      </c>
      <c r="C580" s="5" t="str" cm="1">
        <f t="array" aca="1" ref="C580" ca="1">INDEX({"S001","S002","S003","S004","S005"}, RANDBETWEEN(1,5))</f>
        <v>S003</v>
      </c>
      <c r="D580" s="5" t="str" cm="1">
        <f t="array" aca="1" ref="D580" ca="1">INDEX({"Mumbai","Delhi","Bangalore","Ahmedabad","Chennai"}, RANDBETWEEN(1,5))</f>
        <v>Delhi</v>
      </c>
      <c r="E580" s="5" t="str" cm="1">
        <f t="array" aca="1" ref="E580" ca="1">INDEX({"Electronics","Groceries","Furniture","Clothing","Stationery"}, RANDBETWEEN(1,5))</f>
        <v>Clothing</v>
      </c>
      <c r="F580" s="5" t="str">
        <f t="shared" ca="1" si="46"/>
        <v>Notebook</v>
      </c>
      <c r="G580" s="8">
        <f t="shared" ca="1" si="47"/>
        <v>89</v>
      </c>
      <c r="H580" s="10">
        <f t="shared" ca="1" si="48"/>
        <v>15000</v>
      </c>
      <c r="I580" s="10">
        <f t="shared" ca="1" si="49"/>
        <v>1335000</v>
      </c>
      <c r="J580" s="10">
        <f ca="1">Table2[[#This Row],[Unit Price]] * RANDBETWEEN(70,90)/100</f>
        <v>11550</v>
      </c>
      <c r="K580" s="12">
        <f ca="1">(Table2[[#This Row],[Unit Price]] - Table2[[#This Row],[Cost per Unit]]) * Table2[[#This Row],[Units Sold]]</f>
        <v>307050</v>
      </c>
    </row>
    <row r="581" spans="1:11" ht="15.6" x14ac:dyDescent="0.3">
      <c r="A581" s="5" cm="1">
        <f t="array" ref="A581">1000 + ROW(581:581)</f>
        <v>1581</v>
      </c>
      <c r="B581" s="6">
        <f t="shared" ca="1" si="45"/>
        <v>45363</v>
      </c>
      <c r="C581" s="5" t="str" cm="1">
        <f t="array" aca="1" ref="C581" ca="1">INDEX({"S001","S002","S003","S004","S005"}, RANDBETWEEN(1,5))</f>
        <v>S001</v>
      </c>
      <c r="D581" s="5" t="str" cm="1">
        <f t="array" aca="1" ref="D581" ca="1">INDEX({"Mumbai","Delhi","Bangalore","Ahmedabad","Chennai"}, RANDBETWEEN(1,5))</f>
        <v>Chennai</v>
      </c>
      <c r="E581" s="5" t="str" cm="1">
        <f t="array" aca="1" ref="E581" ca="1">INDEX({"Electronics","Groceries","Furniture","Clothing","Stationery"}, RANDBETWEEN(1,5))</f>
        <v>Furniture</v>
      </c>
      <c r="F581" s="5" t="str">
        <f t="shared" ca="1" si="46"/>
        <v>Rice 5kg</v>
      </c>
      <c r="G581" s="8">
        <f t="shared" ca="1" si="47"/>
        <v>75</v>
      </c>
      <c r="H581" s="10">
        <f t="shared" ca="1" si="48"/>
        <v>150</v>
      </c>
      <c r="I581" s="10">
        <f t="shared" ca="1" si="49"/>
        <v>11250</v>
      </c>
      <c r="J581" s="10">
        <f ca="1">Table2[[#This Row],[Unit Price]] * RANDBETWEEN(70,90)/100</f>
        <v>127.5</v>
      </c>
      <c r="K581" s="12">
        <f ca="1">(Table2[[#This Row],[Unit Price]] - Table2[[#This Row],[Cost per Unit]]) * Table2[[#This Row],[Units Sold]]</f>
        <v>1687.5</v>
      </c>
    </row>
    <row r="582" spans="1:11" ht="15.6" x14ac:dyDescent="0.3">
      <c r="A582" s="5" cm="1">
        <f t="array" ref="A582">1000 + ROW(582:582)</f>
        <v>1582</v>
      </c>
      <c r="B582" s="6">
        <f t="shared" ca="1" si="45"/>
        <v>45305</v>
      </c>
      <c r="C582" s="5" t="str" cm="1">
        <f t="array" aca="1" ref="C582" ca="1">INDEX({"S001","S002","S003","S004","S005"}, RANDBETWEEN(1,5))</f>
        <v>S004</v>
      </c>
      <c r="D582" s="5" t="str" cm="1">
        <f t="array" aca="1" ref="D582" ca="1">INDEX({"Mumbai","Delhi","Bangalore","Ahmedabad","Chennai"}, RANDBETWEEN(1,5))</f>
        <v>Ahmedabad</v>
      </c>
      <c r="E582" s="5" t="str" cm="1">
        <f t="array" aca="1" ref="E582" ca="1">INDEX({"Electronics","Groceries","Furniture","Clothing","Stationery"}, RANDBETWEEN(1,5))</f>
        <v>Furniture</v>
      </c>
      <c r="F582" s="5" t="str">
        <f t="shared" ca="1" si="46"/>
        <v>T-shirt</v>
      </c>
      <c r="G582" s="8">
        <f t="shared" ca="1" si="47"/>
        <v>94</v>
      </c>
      <c r="H582" s="10">
        <f t="shared" ca="1" si="48"/>
        <v>250</v>
      </c>
      <c r="I582" s="10">
        <f t="shared" ca="1" si="49"/>
        <v>23500</v>
      </c>
      <c r="J582" s="10">
        <f ca="1">Table2[[#This Row],[Unit Price]] * RANDBETWEEN(70,90)/100</f>
        <v>195</v>
      </c>
      <c r="K582" s="12">
        <f ca="1">(Table2[[#This Row],[Unit Price]] - Table2[[#This Row],[Cost per Unit]]) * Table2[[#This Row],[Units Sold]]</f>
        <v>5170</v>
      </c>
    </row>
    <row r="583" spans="1:11" ht="15.6" x14ac:dyDescent="0.3">
      <c r="A583" s="5" cm="1">
        <f t="array" ref="A583">1000 + ROW(583:583)</f>
        <v>1583</v>
      </c>
      <c r="B583" s="6">
        <f t="shared" ca="1" si="45"/>
        <v>45379</v>
      </c>
      <c r="C583" s="5" t="str" cm="1">
        <f t="array" aca="1" ref="C583" ca="1">INDEX({"S001","S002","S003","S004","S005"}, RANDBETWEEN(1,5))</f>
        <v>S004</v>
      </c>
      <c r="D583" s="5" t="str" cm="1">
        <f t="array" aca="1" ref="D583" ca="1">INDEX({"Mumbai","Delhi","Bangalore","Ahmedabad","Chennai"}, RANDBETWEEN(1,5))</f>
        <v>Bangalore</v>
      </c>
      <c r="E583" s="5" t="str" cm="1">
        <f t="array" aca="1" ref="E583" ca="1">INDEX({"Electronics","Groceries","Furniture","Clothing","Stationery"}, RANDBETWEEN(1,5))</f>
        <v>Furniture</v>
      </c>
      <c r="F583" s="5" t="str">
        <f t="shared" ca="1" si="46"/>
        <v>Shampoo</v>
      </c>
      <c r="G583" s="8">
        <f t="shared" ca="1" si="47"/>
        <v>62</v>
      </c>
      <c r="H583" s="10">
        <f t="shared" ca="1" si="48"/>
        <v>150</v>
      </c>
      <c r="I583" s="10">
        <f t="shared" ca="1" si="49"/>
        <v>9300</v>
      </c>
      <c r="J583" s="10">
        <f ca="1">Table2[[#This Row],[Unit Price]] * RANDBETWEEN(70,90)/100</f>
        <v>126</v>
      </c>
      <c r="K583" s="12">
        <f ca="1">(Table2[[#This Row],[Unit Price]] - Table2[[#This Row],[Cost per Unit]]) * Table2[[#This Row],[Units Sold]]</f>
        <v>1488</v>
      </c>
    </row>
    <row r="584" spans="1:11" ht="15.6" x14ac:dyDescent="0.3">
      <c r="A584" s="5" cm="1">
        <f t="array" ref="A584">1000 + ROW(584:584)</f>
        <v>1584</v>
      </c>
      <c r="B584" s="6">
        <f t="shared" ca="1" si="45"/>
        <v>45362</v>
      </c>
      <c r="C584" s="5" t="str" cm="1">
        <f t="array" aca="1" ref="C584" ca="1">INDEX({"S001","S002","S003","S004","S005"}, RANDBETWEEN(1,5))</f>
        <v>S004</v>
      </c>
      <c r="D584" s="5" t="str" cm="1">
        <f t="array" aca="1" ref="D584" ca="1">INDEX({"Mumbai","Delhi","Bangalore","Ahmedabad","Chennai"}, RANDBETWEEN(1,5))</f>
        <v>Chennai</v>
      </c>
      <c r="E584" s="5" t="str" cm="1">
        <f t="array" aca="1" ref="E584" ca="1">INDEX({"Electronics","Groceries","Furniture","Clothing","Stationery"}, RANDBETWEEN(1,5))</f>
        <v>Electronics</v>
      </c>
      <c r="F584" s="5" t="str">
        <f t="shared" ca="1" si="46"/>
        <v>T-shirt</v>
      </c>
      <c r="G584" s="8">
        <f t="shared" ca="1" si="47"/>
        <v>15</v>
      </c>
      <c r="H584" s="10">
        <f t="shared" ca="1" si="48"/>
        <v>30000</v>
      </c>
      <c r="I584" s="10">
        <f t="shared" ca="1" si="49"/>
        <v>450000</v>
      </c>
      <c r="J584" s="10">
        <f ca="1">Table2[[#This Row],[Unit Price]] * RANDBETWEEN(70,90)/100</f>
        <v>25500</v>
      </c>
      <c r="K584" s="12">
        <f ca="1">(Table2[[#This Row],[Unit Price]] - Table2[[#This Row],[Cost per Unit]]) * Table2[[#This Row],[Units Sold]]</f>
        <v>67500</v>
      </c>
    </row>
    <row r="585" spans="1:11" ht="15.6" x14ac:dyDescent="0.3">
      <c r="A585" s="5" cm="1">
        <f t="array" ref="A585">1000 + ROW(585:585)</f>
        <v>1585</v>
      </c>
      <c r="B585" s="6">
        <f t="shared" ca="1" si="45"/>
        <v>45365</v>
      </c>
      <c r="C585" s="5" t="str" cm="1">
        <f t="array" aca="1" ref="C585" ca="1">INDEX({"S001","S002","S003","S004","S005"}, RANDBETWEEN(1,5))</f>
        <v>S002</v>
      </c>
      <c r="D585" s="5" t="str" cm="1">
        <f t="array" aca="1" ref="D585" ca="1">INDEX({"Mumbai","Delhi","Bangalore","Ahmedabad","Chennai"}, RANDBETWEEN(1,5))</f>
        <v>Delhi</v>
      </c>
      <c r="E585" s="5" t="str" cm="1">
        <f t="array" aca="1" ref="E585" ca="1">INDEX({"Electronics","Groceries","Furniture","Clothing","Stationery"}, RANDBETWEEN(1,5))</f>
        <v>Electronics</v>
      </c>
      <c r="F585" s="5" t="str">
        <f t="shared" ca="1" si="46"/>
        <v>Office Chair</v>
      </c>
      <c r="G585" s="8">
        <f t="shared" ca="1" si="47"/>
        <v>68</v>
      </c>
      <c r="H585" s="10">
        <f t="shared" ca="1" si="48"/>
        <v>30000</v>
      </c>
      <c r="I585" s="10">
        <f t="shared" ca="1" si="49"/>
        <v>2040000</v>
      </c>
      <c r="J585" s="10">
        <f ca="1">Table2[[#This Row],[Unit Price]] * RANDBETWEEN(70,90)/100</f>
        <v>24600</v>
      </c>
      <c r="K585" s="12">
        <f ca="1">(Table2[[#This Row],[Unit Price]] - Table2[[#This Row],[Cost per Unit]]) * Table2[[#This Row],[Units Sold]]</f>
        <v>367200</v>
      </c>
    </row>
    <row r="586" spans="1:11" ht="15.6" x14ac:dyDescent="0.3">
      <c r="A586" s="5" cm="1">
        <f t="array" ref="A586">1000 + ROW(586:586)</f>
        <v>1586</v>
      </c>
      <c r="B586" s="6">
        <f t="shared" ca="1" si="45"/>
        <v>45361</v>
      </c>
      <c r="C586" s="5" t="str" cm="1">
        <f t="array" aca="1" ref="C586" ca="1">INDEX({"S001","S002","S003","S004","S005"}, RANDBETWEEN(1,5))</f>
        <v>S005</v>
      </c>
      <c r="D586" s="5" t="str" cm="1">
        <f t="array" aca="1" ref="D586" ca="1">INDEX({"Mumbai","Delhi","Bangalore","Ahmedabad","Chennai"}, RANDBETWEEN(1,5))</f>
        <v>Chennai</v>
      </c>
      <c r="E586" s="5" t="str" cm="1">
        <f t="array" aca="1" ref="E586" ca="1">INDEX({"Electronics","Groceries","Furniture","Clothing","Stationery"}, RANDBETWEEN(1,5))</f>
        <v>Electronics</v>
      </c>
      <c r="F586" s="5" t="str">
        <f t="shared" ca="1" si="46"/>
        <v>Smartphone</v>
      </c>
      <c r="G586" s="8">
        <f t="shared" ca="1" si="47"/>
        <v>64</v>
      </c>
      <c r="H586" s="10">
        <f t="shared" ca="1" si="48"/>
        <v>500</v>
      </c>
      <c r="I586" s="10">
        <f t="shared" ca="1" si="49"/>
        <v>32000</v>
      </c>
      <c r="J586" s="10">
        <f ca="1">Table2[[#This Row],[Unit Price]] * RANDBETWEEN(70,90)/100</f>
        <v>430</v>
      </c>
      <c r="K586" s="12">
        <f ca="1">(Table2[[#This Row],[Unit Price]] - Table2[[#This Row],[Cost per Unit]]) * Table2[[#This Row],[Units Sold]]</f>
        <v>4480</v>
      </c>
    </row>
    <row r="587" spans="1:11" ht="15.6" x14ac:dyDescent="0.3">
      <c r="A587" s="5" cm="1">
        <f t="array" ref="A587">1000 + ROW(587:587)</f>
        <v>1587</v>
      </c>
      <c r="B587" s="6">
        <f t="shared" ca="1" si="45"/>
        <v>45339</v>
      </c>
      <c r="C587" s="5" t="str" cm="1">
        <f t="array" aca="1" ref="C587" ca="1">INDEX({"S001","S002","S003","S004","S005"}, RANDBETWEEN(1,5))</f>
        <v>S001</v>
      </c>
      <c r="D587" s="5" t="str" cm="1">
        <f t="array" aca="1" ref="D587" ca="1">INDEX({"Mumbai","Delhi","Bangalore","Ahmedabad","Chennai"}, RANDBETWEEN(1,5))</f>
        <v>Mumbai</v>
      </c>
      <c r="E587" s="5" t="str" cm="1">
        <f t="array" aca="1" ref="E587" ca="1">INDEX({"Electronics","Groceries","Furniture","Clothing","Stationery"}, RANDBETWEEN(1,5))</f>
        <v>Groceries</v>
      </c>
      <c r="F587" s="5" t="str">
        <f t="shared" ca="1" si="46"/>
        <v>Shampoo</v>
      </c>
      <c r="G587" s="8">
        <f t="shared" ca="1" si="47"/>
        <v>9</v>
      </c>
      <c r="H587" s="10">
        <f t="shared" ca="1" si="48"/>
        <v>150</v>
      </c>
      <c r="I587" s="10">
        <f t="shared" ca="1" si="49"/>
        <v>1350</v>
      </c>
      <c r="J587" s="10">
        <f ca="1">Table2[[#This Row],[Unit Price]] * RANDBETWEEN(70,90)/100</f>
        <v>109.5</v>
      </c>
      <c r="K587" s="12">
        <f ca="1">(Table2[[#This Row],[Unit Price]] - Table2[[#This Row],[Cost per Unit]]) * Table2[[#This Row],[Units Sold]]</f>
        <v>364.5</v>
      </c>
    </row>
    <row r="588" spans="1:11" ht="15.6" x14ac:dyDescent="0.3">
      <c r="A588" s="5" cm="1">
        <f t="array" ref="A588">1000 + ROW(588:588)</f>
        <v>1588</v>
      </c>
      <c r="B588" s="6">
        <f t="shared" ca="1" si="45"/>
        <v>45375</v>
      </c>
      <c r="C588" s="5" t="str" cm="1">
        <f t="array" aca="1" ref="C588" ca="1">INDEX({"S001","S002","S003","S004","S005"}, RANDBETWEEN(1,5))</f>
        <v>S004</v>
      </c>
      <c r="D588" s="5" t="str" cm="1">
        <f t="array" aca="1" ref="D588" ca="1">INDEX({"Mumbai","Delhi","Bangalore","Ahmedabad","Chennai"}, RANDBETWEEN(1,5))</f>
        <v>Bangalore</v>
      </c>
      <c r="E588" s="5" t="str" cm="1">
        <f t="array" aca="1" ref="E588" ca="1">INDEX({"Electronics","Groceries","Furniture","Clothing","Stationery"}, RANDBETWEEN(1,5))</f>
        <v>Clothing</v>
      </c>
      <c r="F588" s="5" t="str">
        <f t="shared" ca="1" si="46"/>
        <v>Notebook</v>
      </c>
      <c r="G588" s="8">
        <f t="shared" ca="1" si="47"/>
        <v>95</v>
      </c>
      <c r="H588" s="10">
        <f t="shared" ca="1" si="48"/>
        <v>500</v>
      </c>
      <c r="I588" s="10">
        <f t="shared" ca="1" si="49"/>
        <v>47500</v>
      </c>
      <c r="J588" s="10">
        <f ca="1">Table2[[#This Row],[Unit Price]] * RANDBETWEEN(70,90)/100</f>
        <v>365</v>
      </c>
      <c r="K588" s="12">
        <f ca="1">(Table2[[#This Row],[Unit Price]] - Table2[[#This Row],[Cost per Unit]]) * Table2[[#This Row],[Units Sold]]</f>
        <v>12825</v>
      </c>
    </row>
    <row r="589" spans="1:11" ht="15.6" x14ac:dyDescent="0.3">
      <c r="A589" s="5" cm="1">
        <f t="array" ref="A589">1000 + ROW(589:589)</f>
        <v>1589</v>
      </c>
      <c r="B589" s="6">
        <f t="shared" ca="1" si="45"/>
        <v>45352</v>
      </c>
      <c r="C589" s="5" t="str" cm="1">
        <f t="array" aca="1" ref="C589" ca="1">INDEX({"S001","S002","S003","S004","S005"}, RANDBETWEEN(1,5))</f>
        <v>S004</v>
      </c>
      <c r="D589" s="5" t="str" cm="1">
        <f t="array" aca="1" ref="D589" ca="1">INDEX({"Mumbai","Delhi","Bangalore","Ahmedabad","Chennai"}, RANDBETWEEN(1,5))</f>
        <v>Mumbai</v>
      </c>
      <c r="E589" s="5" t="str" cm="1">
        <f t="array" aca="1" ref="E589" ca="1">INDEX({"Electronics","Groceries","Furniture","Clothing","Stationery"}, RANDBETWEEN(1,5))</f>
        <v>Groceries</v>
      </c>
      <c r="F589" s="5" t="str">
        <f t="shared" ca="1" si="46"/>
        <v>Notebook</v>
      </c>
      <c r="G589" s="8">
        <f t="shared" ca="1" si="47"/>
        <v>10</v>
      </c>
      <c r="H589" s="10">
        <f t="shared" ca="1" si="48"/>
        <v>900</v>
      </c>
      <c r="I589" s="10">
        <f t="shared" ca="1" si="49"/>
        <v>9000</v>
      </c>
      <c r="J589" s="10">
        <f ca="1">Table2[[#This Row],[Unit Price]] * RANDBETWEEN(70,90)/100</f>
        <v>747</v>
      </c>
      <c r="K589" s="12">
        <f ca="1">(Table2[[#This Row],[Unit Price]] - Table2[[#This Row],[Cost per Unit]]) * Table2[[#This Row],[Units Sold]]</f>
        <v>1530</v>
      </c>
    </row>
    <row r="590" spans="1:11" ht="15.6" x14ac:dyDescent="0.3">
      <c r="A590" s="5" cm="1">
        <f t="array" ref="A590">1000 + ROW(590:590)</f>
        <v>1590</v>
      </c>
      <c r="B590" s="6">
        <f t="shared" ca="1" si="45"/>
        <v>45372</v>
      </c>
      <c r="C590" s="5" t="str" cm="1">
        <f t="array" aca="1" ref="C590" ca="1">INDEX({"S001","S002","S003","S004","S005"}, RANDBETWEEN(1,5))</f>
        <v>S005</v>
      </c>
      <c r="D590" s="5" t="str" cm="1">
        <f t="array" aca="1" ref="D590" ca="1">INDEX({"Mumbai","Delhi","Bangalore","Ahmedabad","Chennai"}, RANDBETWEEN(1,5))</f>
        <v>Delhi</v>
      </c>
      <c r="E590" s="5" t="str" cm="1">
        <f t="array" aca="1" ref="E590" ca="1">INDEX({"Electronics","Groceries","Furniture","Clothing","Stationery"}, RANDBETWEEN(1,5))</f>
        <v>Furniture</v>
      </c>
      <c r="F590" s="5" t="str">
        <f t="shared" ca="1" si="46"/>
        <v>Cooking Oil 1L</v>
      </c>
      <c r="G590" s="8">
        <f t="shared" ca="1" si="47"/>
        <v>55</v>
      </c>
      <c r="H590" s="10">
        <f t="shared" ca="1" si="48"/>
        <v>1200</v>
      </c>
      <c r="I590" s="10">
        <f t="shared" ca="1" si="49"/>
        <v>66000</v>
      </c>
      <c r="J590" s="10">
        <f ca="1">Table2[[#This Row],[Unit Price]] * RANDBETWEEN(70,90)/100</f>
        <v>876</v>
      </c>
      <c r="K590" s="12">
        <f ca="1">(Table2[[#This Row],[Unit Price]] - Table2[[#This Row],[Cost per Unit]]) * Table2[[#This Row],[Units Sold]]</f>
        <v>17820</v>
      </c>
    </row>
    <row r="591" spans="1:11" ht="15.6" x14ac:dyDescent="0.3">
      <c r="A591" s="5" cm="1">
        <f t="array" ref="A591">1000 + ROW(591:591)</f>
        <v>1591</v>
      </c>
      <c r="B591" s="6">
        <f t="shared" ca="1" si="45"/>
        <v>45312</v>
      </c>
      <c r="C591" s="5" t="str" cm="1">
        <f t="array" aca="1" ref="C591" ca="1">INDEX({"S001","S002","S003","S004","S005"}, RANDBETWEEN(1,5))</f>
        <v>S004</v>
      </c>
      <c r="D591" s="5" t="str" cm="1">
        <f t="array" aca="1" ref="D591" ca="1">INDEX({"Mumbai","Delhi","Bangalore","Ahmedabad","Chennai"}, RANDBETWEEN(1,5))</f>
        <v>Mumbai</v>
      </c>
      <c r="E591" s="5" t="str" cm="1">
        <f t="array" aca="1" ref="E591" ca="1">INDEX({"Electronics","Groceries","Furniture","Clothing","Stationery"}, RANDBETWEEN(1,5))</f>
        <v>Furniture</v>
      </c>
      <c r="F591" s="5" t="str">
        <f t="shared" ca="1" si="46"/>
        <v>Laptop</v>
      </c>
      <c r="G591" s="8">
        <f t="shared" ca="1" si="47"/>
        <v>97</v>
      </c>
      <c r="H591" s="10">
        <f t="shared" ca="1" si="48"/>
        <v>15000</v>
      </c>
      <c r="I591" s="10">
        <f t="shared" ca="1" si="49"/>
        <v>1455000</v>
      </c>
      <c r="J591" s="10">
        <f ca="1">Table2[[#This Row],[Unit Price]] * RANDBETWEEN(70,90)/100</f>
        <v>10500</v>
      </c>
      <c r="K591" s="12">
        <f ca="1">(Table2[[#This Row],[Unit Price]] - Table2[[#This Row],[Cost per Unit]]) * Table2[[#This Row],[Units Sold]]</f>
        <v>436500</v>
      </c>
    </row>
    <row r="592" spans="1:11" ht="15.6" x14ac:dyDescent="0.3">
      <c r="A592" s="5" cm="1">
        <f t="array" ref="A592">1000 + ROW(591:591)</f>
        <v>1591</v>
      </c>
      <c r="B592" s="6">
        <f t="shared" ca="1" si="45"/>
        <v>45293</v>
      </c>
      <c r="C592" s="5" t="str" cm="1">
        <f t="array" aca="1" ref="C592" ca="1">INDEX({"S001","S002","S003","S004","S005"}, RANDBETWEEN(1,5))</f>
        <v>S001</v>
      </c>
      <c r="D592" s="5" t="str" cm="1">
        <f t="array" aca="1" ref="D592" ca="1">INDEX({"Mumbai","Delhi","Bangalore","Ahmedabad","Chennai"}, RANDBETWEEN(1,5))</f>
        <v>Chennai</v>
      </c>
      <c r="E592" s="5" t="str" cm="1">
        <f t="array" aca="1" ref="E592" ca="1">INDEX({"Electronics","Groceries","Furniture","Clothing","Stationery"}, RANDBETWEEN(1,5))</f>
        <v>Stationery</v>
      </c>
      <c r="F592" s="5" t="str">
        <f t="shared" ca="1" si="46"/>
        <v>Laptop</v>
      </c>
      <c r="G592" s="8">
        <f t="shared" ca="1" si="47"/>
        <v>29</v>
      </c>
      <c r="H592" s="10">
        <f t="shared" ca="1" si="48"/>
        <v>30000</v>
      </c>
      <c r="I592" s="10">
        <f t="shared" ca="1" si="49"/>
        <v>870000</v>
      </c>
      <c r="J592" s="10">
        <f ca="1">Table2[[#This Row],[Unit Price]] * RANDBETWEEN(70,90)/100</f>
        <v>24300</v>
      </c>
      <c r="K592" s="12">
        <f ca="1">(Table2[[#This Row],[Unit Price]] - Table2[[#This Row],[Cost per Unit]]) * Table2[[#This Row],[Units Sold]]</f>
        <v>165300</v>
      </c>
    </row>
    <row r="593" spans="1:11" ht="15.6" x14ac:dyDescent="0.3">
      <c r="A593" s="5" cm="1">
        <f t="array" ref="A593">1000 + ROW(592:592)</f>
        <v>1592</v>
      </c>
      <c r="B593" s="6">
        <f t="shared" ca="1" si="45"/>
        <v>45297</v>
      </c>
      <c r="C593" s="5" t="str" cm="1">
        <f t="array" aca="1" ref="C593" ca="1">INDEX({"S001","S002","S003","S004","S005"}, RANDBETWEEN(1,5))</f>
        <v>S002</v>
      </c>
      <c r="D593" s="5" t="str" cm="1">
        <f t="array" aca="1" ref="D593" ca="1">INDEX({"Mumbai","Delhi","Bangalore","Ahmedabad","Chennai"}, RANDBETWEEN(1,5))</f>
        <v>Bangalore</v>
      </c>
      <c r="E593" s="5" t="str" cm="1">
        <f t="array" aca="1" ref="E593" ca="1">INDEX({"Electronics","Groceries","Furniture","Clothing","Stationery"}, RANDBETWEEN(1,5))</f>
        <v>Clothing</v>
      </c>
      <c r="F593" s="5" t="str">
        <f t="shared" ca="1" si="46"/>
        <v>Smartphone</v>
      </c>
      <c r="G593" s="8">
        <f t="shared" ca="1" si="47"/>
        <v>11</v>
      </c>
      <c r="H593" s="10">
        <f t="shared" ca="1" si="48"/>
        <v>50</v>
      </c>
      <c r="I593" s="10">
        <f t="shared" ca="1" si="49"/>
        <v>550</v>
      </c>
      <c r="J593" s="10">
        <f ca="1">Table2[[#This Row],[Unit Price]] * RANDBETWEEN(70,90)/100</f>
        <v>41.5</v>
      </c>
      <c r="K593" s="12">
        <f ca="1">(Table2[[#This Row],[Unit Price]] - Table2[[#This Row],[Cost per Unit]]) * Table2[[#This Row],[Units Sold]]</f>
        <v>93.5</v>
      </c>
    </row>
    <row r="594" spans="1:11" ht="15.6" x14ac:dyDescent="0.3">
      <c r="A594" s="5" cm="1">
        <f t="array" ref="A594">1000 + ROW(594:594)</f>
        <v>1594</v>
      </c>
      <c r="B594" s="6">
        <f t="shared" ca="1" si="45"/>
        <v>45330</v>
      </c>
      <c r="C594" s="5" t="str" cm="1">
        <f t="array" aca="1" ref="C594" ca="1">INDEX({"S001","S002","S003","S004","S005"}, RANDBETWEEN(1,5))</f>
        <v>S002</v>
      </c>
      <c r="D594" s="5" t="str" cm="1">
        <f t="array" aca="1" ref="D594" ca="1">INDEX({"Mumbai","Delhi","Bangalore","Ahmedabad","Chennai"}, RANDBETWEEN(1,5))</f>
        <v>Bangalore</v>
      </c>
      <c r="E594" s="5" t="str" cm="1">
        <f t="array" aca="1" ref="E594" ca="1">INDEX({"Electronics","Groceries","Furniture","Clothing","Stationery"}, RANDBETWEEN(1,5))</f>
        <v>Stationery</v>
      </c>
      <c r="F594" s="5" t="str">
        <f t="shared" ca="1" si="46"/>
        <v>Shampoo</v>
      </c>
      <c r="G594" s="8">
        <f t="shared" ca="1" si="47"/>
        <v>48</v>
      </c>
      <c r="H594" s="10">
        <f t="shared" ca="1" si="48"/>
        <v>300</v>
      </c>
      <c r="I594" s="10">
        <f t="shared" ca="1" si="49"/>
        <v>14400</v>
      </c>
      <c r="J594" s="10">
        <f ca="1">Table2[[#This Row],[Unit Price]] * RANDBETWEEN(70,90)/100</f>
        <v>252</v>
      </c>
      <c r="K594" s="12">
        <f ca="1">(Table2[[#This Row],[Unit Price]] - Table2[[#This Row],[Cost per Unit]]) * Table2[[#This Row],[Units Sold]]</f>
        <v>2304</v>
      </c>
    </row>
    <row r="595" spans="1:11" ht="15.6" x14ac:dyDescent="0.3">
      <c r="A595" s="5" cm="1">
        <f t="array" ref="A595">1000 + ROW(595:595)</f>
        <v>1595</v>
      </c>
      <c r="B595" s="6">
        <f t="shared" ca="1" si="45"/>
        <v>45303</v>
      </c>
      <c r="C595" s="5" t="str" cm="1">
        <f t="array" aca="1" ref="C595" ca="1">INDEX({"S001","S002","S003","S004","S005"}, RANDBETWEEN(1,5))</f>
        <v>S004</v>
      </c>
      <c r="D595" s="5" t="str" cm="1">
        <f t="array" aca="1" ref="D595" ca="1">INDEX({"Mumbai","Delhi","Bangalore","Ahmedabad","Chennai"}, RANDBETWEEN(1,5))</f>
        <v>Bangalore</v>
      </c>
      <c r="E595" s="5" t="str" cm="1">
        <f t="array" aca="1" ref="E595" ca="1">INDEX({"Electronics","Groceries","Furniture","Clothing","Stationery"}, RANDBETWEEN(1,5))</f>
        <v>Electronics</v>
      </c>
      <c r="F595" s="5" t="str">
        <f t="shared" ca="1" si="46"/>
        <v>Smartphone</v>
      </c>
      <c r="G595" s="8">
        <f t="shared" ca="1" si="47"/>
        <v>5</v>
      </c>
      <c r="H595" s="10">
        <f t="shared" ca="1" si="48"/>
        <v>500</v>
      </c>
      <c r="I595" s="10">
        <f t="shared" ca="1" si="49"/>
        <v>2500</v>
      </c>
      <c r="J595" s="10">
        <f ca="1">Table2[[#This Row],[Unit Price]] * RANDBETWEEN(70,90)/100</f>
        <v>350</v>
      </c>
      <c r="K595" s="12">
        <f ca="1">(Table2[[#This Row],[Unit Price]] - Table2[[#This Row],[Cost per Unit]]) * Table2[[#This Row],[Units Sold]]</f>
        <v>750</v>
      </c>
    </row>
    <row r="596" spans="1:11" ht="15.6" x14ac:dyDescent="0.3">
      <c r="A596" s="5" cm="1">
        <f t="array" ref="A596">1000 + ROW(596:596)</f>
        <v>1596</v>
      </c>
      <c r="B596" s="6">
        <f t="shared" ca="1" si="45"/>
        <v>45342</v>
      </c>
      <c r="C596" s="5" t="str" cm="1">
        <f t="array" aca="1" ref="C596" ca="1">INDEX({"S001","S002","S003","S004","S005"}, RANDBETWEEN(1,5))</f>
        <v>S002</v>
      </c>
      <c r="D596" s="5" t="str" cm="1">
        <f t="array" aca="1" ref="D596" ca="1">INDEX({"Mumbai","Delhi","Bangalore","Ahmedabad","Chennai"}, RANDBETWEEN(1,5))</f>
        <v>Chennai</v>
      </c>
      <c r="E596" s="5" t="str" cm="1">
        <f t="array" aca="1" ref="E596" ca="1">INDEX({"Electronics","Groceries","Furniture","Clothing","Stationery"}, RANDBETWEEN(1,5))</f>
        <v>Groceries</v>
      </c>
      <c r="F596" s="5" t="str">
        <f t="shared" ca="1" si="46"/>
        <v>Laptop</v>
      </c>
      <c r="G596" s="8">
        <f t="shared" ca="1" si="47"/>
        <v>48</v>
      </c>
      <c r="H596" s="10">
        <f t="shared" ca="1" si="48"/>
        <v>250</v>
      </c>
      <c r="I596" s="10">
        <f t="shared" ca="1" si="49"/>
        <v>12000</v>
      </c>
      <c r="J596" s="10">
        <f ca="1">Table2[[#This Row],[Unit Price]] * RANDBETWEEN(70,90)/100</f>
        <v>200</v>
      </c>
      <c r="K596" s="12">
        <f ca="1">(Table2[[#This Row],[Unit Price]] - Table2[[#This Row],[Cost per Unit]]) * Table2[[#This Row],[Units Sold]]</f>
        <v>2400</v>
      </c>
    </row>
    <row r="597" spans="1:11" ht="15.6" x14ac:dyDescent="0.3">
      <c r="A597" s="5" cm="1">
        <f t="array" ref="A597">1000 + ROW(597:597)</f>
        <v>1597</v>
      </c>
      <c r="B597" s="6">
        <f t="shared" ca="1" si="45"/>
        <v>45315</v>
      </c>
      <c r="C597" s="5" t="str" cm="1">
        <f t="array" aca="1" ref="C597" ca="1">INDEX({"S001","S002","S003","S004","S005"}, RANDBETWEEN(1,5))</f>
        <v>S001</v>
      </c>
      <c r="D597" s="5" t="str" cm="1">
        <f t="array" aca="1" ref="D597" ca="1">INDEX({"Mumbai","Delhi","Bangalore","Ahmedabad","Chennai"}, RANDBETWEEN(1,5))</f>
        <v>Mumbai</v>
      </c>
      <c r="E597" s="5" t="str" cm="1">
        <f t="array" aca="1" ref="E597" ca="1">INDEX({"Electronics","Groceries","Furniture","Clothing","Stationery"}, RANDBETWEEN(1,5))</f>
        <v>Clothing</v>
      </c>
      <c r="F597" s="5" t="str">
        <f t="shared" ca="1" si="46"/>
        <v>Cooking Oil 1L</v>
      </c>
      <c r="G597" s="8">
        <f t="shared" ca="1" si="47"/>
        <v>7</v>
      </c>
      <c r="H597" s="10">
        <f t="shared" ca="1" si="48"/>
        <v>700</v>
      </c>
      <c r="I597" s="10">
        <f t="shared" ca="1" si="49"/>
        <v>4900</v>
      </c>
      <c r="J597" s="10">
        <f ca="1">Table2[[#This Row],[Unit Price]] * RANDBETWEEN(70,90)/100</f>
        <v>560</v>
      </c>
      <c r="K597" s="12">
        <f ca="1">(Table2[[#This Row],[Unit Price]] - Table2[[#This Row],[Cost per Unit]]) * Table2[[#This Row],[Units Sold]]</f>
        <v>980</v>
      </c>
    </row>
    <row r="598" spans="1:11" ht="15.6" x14ac:dyDescent="0.3">
      <c r="A598" s="5" cm="1">
        <f t="array" ref="A598">1000 + ROW(598:598)</f>
        <v>1598</v>
      </c>
      <c r="B598" s="6">
        <f t="shared" ca="1" si="45"/>
        <v>45304</v>
      </c>
      <c r="C598" s="5" t="str" cm="1">
        <f t="array" aca="1" ref="C598" ca="1">INDEX({"S001","S002","S003","S004","S005"}, RANDBETWEEN(1,5))</f>
        <v>S005</v>
      </c>
      <c r="D598" s="5" t="str" cm="1">
        <f t="array" aca="1" ref="D598" ca="1">INDEX({"Mumbai","Delhi","Bangalore","Ahmedabad","Chennai"}, RANDBETWEEN(1,5))</f>
        <v>Mumbai</v>
      </c>
      <c r="E598" s="5" t="str" cm="1">
        <f t="array" aca="1" ref="E598" ca="1">INDEX({"Electronics","Groceries","Furniture","Clothing","Stationery"}, RANDBETWEEN(1,5))</f>
        <v>Furniture</v>
      </c>
      <c r="F598" s="5" t="str">
        <f t="shared" ca="1" si="46"/>
        <v>T-shirt</v>
      </c>
      <c r="G598" s="8">
        <f t="shared" ca="1" si="47"/>
        <v>1</v>
      </c>
      <c r="H598" s="10">
        <f t="shared" ca="1" si="48"/>
        <v>150</v>
      </c>
      <c r="I598" s="10">
        <f t="shared" ca="1" si="49"/>
        <v>150</v>
      </c>
      <c r="J598" s="10">
        <f ca="1">Table2[[#This Row],[Unit Price]] * RANDBETWEEN(70,90)/100</f>
        <v>120</v>
      </c>
      <c r="K598" s="12">
        <f ca="1">(Table2[[#This Row],[Unit Price]] - Table2[[#This Row],[Cost per Unit]]) * Table2[[#This Row],[Units Sold]]</f>
        <v>30</v>
      </c>
    </row>
    <row r="599" spans="1:11" ht="15.6" x14ac:dyDescent="0.3">
      <c r="A599" s="5" cm="1">
        <f t="array" ref="A599">1000 + ROW(599:599)</f>
        <v>1599</v>
      </c>
      <c r="B599" s="6">
        <f t="shared" ca="1" si="45"/>
        <v>45374</v>
      </c>
      <c r="C599" s="5" t="str" cm="1">
        <f t="array" aca="1" ref="C599" ca="1">INDEX({"S001","S002","S003","S004","S005"}, RANDBETWEEN(1,5))</f>
        <v>S002</v>
      </c>
      <c r="D599" s="5" t="str" cm="1">
        <f t="array" aca="1" ref="D599" ca="1">INDEX({"Mumbai","Delhi","Bangalore","Ahmedabad","Chennai"}, RANDBETWEEN(1,5))</f>
        <v>Bangalore</v>
      </c>
      <c r="E599" s="5" t="str" cm="1">
        <f t="array" aca="1" ref="E599" ca="1">INDEX({"Electronics","Groceries","Furniture","Clothing","Stationery"}, RANDBETWEEN(1,5))</f>
        <v>Groceries</v>
      </c>
      <c r="F599" s="5" t="str">
        <f t="shared" ca="1" si="46"/>
        <v>Shampoo</v>
      </c>
      <c r="G599" s="8">
        <f t="shared" ca="1" si="47"/>
        <v>24</v>
      </c>
      <c r="H599" s="10">
        <f t="shared" ca="1" si="48"/>
        <v>1200</v>
      </c>
      <c r="I599" s="10">
        <f t="shared" ca="1" si="49"/>
        <v>28800</v>
      </c>
      <c r="J599" s="10">
        <f ca="1">Table2[[#This Row],[Unit Price]] * RANDBETWEEN(70,90)/100</f>
        <v>888</v>
      </c>
      <c r="K599" s="12">
        <f ca="1">(Table2[[#This Row],[Unit Price]] - Table2[[#This Row],[Cost per Unit]]) * Table2[[#This Row],[Units Sold]]</f>
        <v>7488</v>
      </c>
    </row>
    <row r="600" spans="1:11" ht="15.6" x14ac:dyDescent="0.3">
      <c r="A600" s="5" cm="1">
        <f t="array" ref="A600">1000 + ROW(600:600)</f>
        <v>1600</v>
      </c>
      <c r="B600" s="6">
        <f t="shared" ca="1" si="45"/>
        <v>45373</v>
      </c>
      <c r="C600" s="5" t="str" cm="1">
        <f t="array" aca="1" ref="C600" ca="1">INDEX({"S001","S002","S003","S004","S005"}, RANDBETWEEN(1,5))</f>
        <v>S002</v>
      </c>
      <c r="D600" s="5" t="str" cm="1">
        <f t="array" aca="1" ref="D600" ca="1">INDEX({"Mumbai","Delhi","Bangalore","Ahmedabad","Chennai"}, RANDBETWEEN(1,5))</f>
        <v>Bangalore</v>
      </c>
      <c r="E600" s="5" t="str" cm="1">
        <f t="array" aca="1" ref="E600" ca="1">INDEX({"Electronics","Groceries","Furniture","Clothing","Stationery"}, RANDBETWEEN(1,5))</f>
        <v>Clothing</v>
      </c>
      <c r="F600" s="5" t="str">
        <f t="shared" ca="1" si="46"/>
        <v>Laptop</v>
      </c>
      <c r="G600" s="8">
        <f t="shared" ca="1" si="47"/>
        <v>28</v>
      </c>
      <c r="H600" s="10">
        <f t="shared" ca="1" si="48"/>
        <v>50</v>
      </c>
      <c r="I600" s="10">
        <f t="shared" ca="1" si="49"/>
        <v>1400</v>
      </c>
      <c r="J600" s="10">
        <f ca="1">Table2[[#This Row],[Unit Price]] * RANDBETWEEN(70,90)/100</f>
        <v>39.5</v>
      </c>
      <c r="K600" s="12">
        <f ca="1">(Table2[[#This Row],[Unit Price]] - Table2[[#This Row],[Cost per Unit]]) * Table2[[#This Row],[Units Sold]]</f>
        <v>294</v>
      </c>
    </row>
    <row r="601" spans="1:11" ht="15.6" x14ac:dyDescent="0.3">
      <c r="A601" s="5" cm="1">
        <f t="array" ref="A601">1000 + ROW(601:601)</f>
        <v>1601</v>
      </c>
      <c r="B601" s="6">
        <f t="shared" ca="1" si="45"/>
        <v>45347</v>
      </c>
      <c r="C601" s="5" t="str" cm="1">
        <f t="array" aca="1" ref="C601" ca="1">INDEX({"S001","S002","S003","S004","S005"}, RANDBETWEEN(1,5))</f>
        <v>S003</v>
      </c>
      <c r="D601" s="5" t="str" cm="1">
        <f t="array" aca="1" ref="D601" ca="1">INDEX({"Mumbai","Delhi","Bangalore","Ahmedabad","Chennai"}, RANDBETWEEN(1,5))</f>
        <v>Delhi</v>
      </c>
      <c r="E601" s="5" t="str" cm="1">
        <f t="array" aca="1" ref="E601" ca="1">INDEX({"Electronics","Groceries","Furniture","Clothing","Stationery"}, RANDBETWEEN(1,5))</f>
        <v>Electronics</v>
      </c>
      <c r="F601" s="5" t="str">
        <f t="shared" ca="1" si="46"/>
        <v>Shampoo</v>
      </c>
      <c r="G601" s="8">
        <f t="shared" ca="1" si="47"/>
        <v>77</v>
      </c>
      <c r="H601" s="10">
        <f t="shared" ca="1" si="48"/>
        <v>50</v>
      </c>
      <c r="I601" s="10">
        <f t="shared" ca="1" si="49"/>
        <v>3850</v>
      </c>
      <c r="J601" s="10">
        <f ca="1">Table2[[#This Row],[Unit Price]] * RANDBETWEEN(70,90)/100</f>
        <v>38</v>
      </c>
      <c r="K601" s="12">
        <f ca="1">(Table2[[#This Row],[Unit Price]] - Table2[[#This Row],[Cost per Unit]]) * Table2[[#This Row],[Units Sold]]</f>
        <v>924</v>
      </c>
    </row>
    <row r="602" spans="1:11" ht="15.6" x14ac:dyDescent="0.3">
      <c r="A602" s="5" cm="1">
        <f t="array" ref="A602">1000 + ROW(602:602)</f>
        <v>1602</v>
      </c>
      <c r="B602" s="6">
        <f t="shared" ca="1" si="45"/>
        <v>45346</v>
      </c>
      <c r="C602" s="5" t="str" cm="1">
        <f t="array" aca="1" ref="C602" ca="1">INDEX({"S001","S002","S003","S004","S005"}, RANDBETWEEN(1,5))</f>
        <v>S001</v>
      </c>
      <c r="D602" s="5" t="str" cm="1">
        <f t="array" aca="1" ref="D602" ca="1">INDEX({"Mumbai","Delhi","Bangalore","Ahmedabad","Chennai"}, RANDBETWEEN(1,5))</f>
        <v>Ahmedabad</v>
      </c>
      <c r="E602" s="5" t="str" cm="1">
        <f t="array" aca="1" ref="E602" ca="1">INDEX({"Electronics","Groceries","Furniture","Clothing","Stationery"}, RANDBETWEEN(1,5))</f>
        <v>Stationery</v>
      </c>
      <c r="F602" s="5" t="str">
        <f t="shared" ca="1" si="46"/>
        <v>Office Chair</v>
      </c>
      <c r="G602" s="8">
        <f t="shared" ca="1" si="47"/>
        <v>72</v>
      </c>
      <c r="H602" s="10">
        <f t="shared" ca="1" si="48"/>
        <v>300</v>
      </c>
      <c r="I602" s="10">
        <f t="shared" ca="1" si="49"/>
        <v>21600</v>
      </c>
      <c r="J602" s="10">
        <f ca="1">Table2[[#This Row],[Unit Price]] * RANDBETWEEN(70,90)/100</f>
        <v>270</v>
      </c>
      <c r="K602" s="12">
        <f ca="1">(Table2[[#This Row],[Unit Price]] - Table2[[#This Row],[Cost per Unit]]) * Table2[[#This Row],[Units Sold]]</f>
        <v>2160</v>
      </c>
    </row>
    <row r="603" spans="1:11" ht="15.6" x14ac:dyDescent="0.3">
      <c r="A603" s="5" cm="1">
        <f t="array" ref="A603">1000 + ROW(603:603)</f>
        <v>1603</v>
      </c>
      <c r="B603" s="6">
        <f t="shared" ca="1" si="45"/>
        <v>45370</v>
      </c>
      <c r="C603" s="5" t="str" cm="1">
        <f t="array" aca="1" ref="C603" ca="1">INDEX({"S001","S002","S003","S004","S005"}, RANDBETWEEN(1,5))</f>
        <v>S005</v>
      </c>
      <c r="D603" s="5" t="str" cm="1">
        <f t="array" aca="1" ref="D603" ca="1">INDEX({"Mumbai","Delhi","Bangalore","Ahmedabad","Chennai"}, RANDBETWEEN(1,5))</f>
        <v>Mumbai</v>
      </c>
      <c r="E603" s="5" t="str" cm="1">
        <f t="array" aca="1" ref="E603" ca="1">INDEX({"Electronics","Groceries","Furniture","Clothing","Stationery"}, RANDBETWEEN(1,5))</f>
        <v>Electronics</v>
      </c>
      <c r="F603" s="5" t="str">
        <f t="shared" ca="1" si="46"/>
        <v>Rice 5kg</v>
      </c>
      <c r="G603" s="8">
        <f t="shared" ca="1" si="47"/>
        <v>25</v>
      </c>
      <c r="H603" s="10">
        <f t="shared" ca="1" si="48"/>
        <v>150</v>
      </c>
      <c r="I603" s="10">
        <f t="shared" ca="1" si="49"/>
        <v>3750</v>
      </c>
      <c r="J603" s="10">
        <f ca="1">Table2[[#This Row],[Unit Price]] * RANDBETWEEN(70,90)/100</f>
        <v>126</v>
      </c>
      <c r="K603" s="12">
        <f ca="1">(Table2[[#This Row],[Unit Price]] - Table2[[#This Row],[Cost per Unit]]) * Table2[[#This Row],[Units Sold]]</f>
        <v>600</v>
      </c>
    </row>
    <row r="604" spans="1:11" ht="15.6" x14ac:dyDescent="0.3">
      <c r="A604" s="5" cm="1">
        <f t="array" ref="A604">1000 + ROW(604:604)</f>
        <v>1604</v>
      </c>
      <c r="B604" s="6">
        <f t="shared" ca="1" si="45"/>
        <v>45360</v>
      </c>
      <c r="C604" s="5" t="str" cm="1">
        <f t="array" aca="1" ref="C604" ca="1">INDEX({"S001","S002","S003","S004","S005"}, RANDBETWEEN(1,5))</f>
        <v>S005</v>
      </c>
      <c r="D604" s="5" t="str" cm="1">
        <f t="array" aca="1" ref="D604" ca="1">INDEX({"Mumbai","Delhi","Bangalore","Ahmedabad","Chennai"}, RANDBETWEEN(1,5))</f>
        <v>Delhi</v>
      </c>
      <c r="E604" s="5" t="str" cm="1">
        <f t="array" aca="1" ref="E604" ca="1">INDEX({"Electronics","Groceries","Furniture","Clothing","Stationery"}, RANDBETWEEN(1,5))</f>
        <v>Electronics</v>
      </c>
      <c r="F604" s="5" t="str">
        <f t="shared" ca="1" si="46"/>
        <v>Office Chair</v>
      </c>
      <c r="G604" s="8">
        <f t="shared" ca="1" si="47"/>
        <v>52</v>
      </c>
      <c r="H604" s="10">
        <f t="shared" ca="1" si="48"/>
        <v>500</v>
      </c>
      <c r="I604" s="10">
        <f t="shared" ca="1" si="49"/>
        <v>26000</v>
      </c>
      <c r="J604" s="10">
        <f ca="1">Table2[[#This Row],[Unit Price]] * RANDBETWEEN(70,90)/100</f>
        <v>350</v>
      </c>
      <c r="K604" s="12">
        <f ca="1">(Table2[[#This Row],[Unit Price]] - Table2[[#This Row],[Cost per Unit]]) * Table2[[#This Row],[Units Sold]]</f>
        <v>7800</v>
      </c>
    </row>
    <row r="605" spans="1:11" ht="15.6" x14ac:dyDescent="0.3">
      <c r="A605" s="5" cm="1">
        <f t="array" ref="A605">1000 + ROW(605:605)</f>
        <v>1605</v>
      </c>
      <c r="B605" s="6">
        <f t="shared" ca="1" si="45"/>
        <v>45296</v>
      </c>
      <c r="C605" s="5" t="str" cm="1">
        <f t="array" aca="1" ref="C605" ca="1">INDEX({"S001","S002","S003","S004","S005"}, RANDBETWEEN(1,5))</f>
        <v>S001</v>
      </c>
      <c r="D605" s="5" t="str" cm="1">
        <f t="array" aca="1" ref="D605" ca="1">INDEX({"Mumbai","Delhi","Bangalore","Ahmedabad","Chennai"}, RANDBETWEEN(1,5))</f>
        <v>Delhi</v>
      </c>
      <c r="E605" s="5" t="str" cm="1">
        <f t="array" aca="1" ref="E605" ca="1">INDEX({"Electronics","Groceries","Furniture","Clothing","Stationery"}, RANDBETWEEN(1,5))</f>
        <v>Stationery</v>
      </c>
      <c r="F605" s="5" t="str">
        <f t="shared" ca="1" si="46"/>
        <v>Smartphone</v>
      </c>
      <c r="G605" s="8">
        <f t="shared" ca="1" si="47"/>
        <v>15</v>
      </c>
      <c r="H605" s="10">
        <f t="shared" ca="1" si="48"/>
        <v>700</v>
      </c>
      <c r="I605" s="10">
        <f t="shared" ca="1" si="49"/>
        <v>10500</v>
      </c>
      <c r="J605" s="10">
        <f ca="1">Table2[[#This Row],[Unit Price]] * RANDBETWEEN(70,90)/100</f>
        <v>560</v>
      </c>
      <c r="K605" s="12">
        <f ca="1">(Table2[[#This Row],[Unit Price]] - Table2[[#This Row],[Cost per Unit]]) * Table2[[#This Row],[Units Sold]]</f>
        <v>2100</v>
      </c>
    </row>
    <row r="606" spans="1:11" ht="15.6" x14ac:dyDescent="0.3">
      <c r="A606" s="5" cm="1">
        <f t="array" ref="A606">1000 + ROW(606:606)</f>
        <v>1606</v>
      </c>
      <c r="B606" s="6">
        <f t="shared" ca="1" si="45"/>
        <v>45369</v>
      </c>
      <c r="C606" s="5" t="str" cm="1">
        <f t="array" aca="1" ref="C606" ca="1">INDEX({"S001","S002","S003","S004","S005"}, RANDBETWEEN(1,5))</f>
        <v>S002</v>
      </c>
      <c r="D606" s="5" t="str" cm="1">
        <f t="array" aca="1" ref="D606" ca="1">INDEX({"Mumbai","Delhi","Bangalore","Ahmedabad","Chennai"}, RANDBETWEEN(1,5))</f>
        <v>Chennai</v>
      </c>
      <c r="E606" s="5" t="str" cm="1">
        <f t="array" aca="1" ref="E606" ca="1">INDEX({"Electronics","Groceries","Furniture","Clothing","Stationery"}, RANDBETWEEN(1,5))</f>
        <v>Groceries</v>
      </c>
      <c r="F606" s="5" t="str">
        <f t="shared" ca="1" si="46"/>
        <v>Table</v>
      </c>
      <c r="G606" s="8">
        <f t="shared" ca="1" si="47"/>
        <v>98</v>
      </c>
      <c r="H606" s="10">
        <f t="shared" ca="1" si="48"/>
        <v>500</v>
      </c>
      <c r="I606" s="10">
        <f t="shared" ca="1" si="49"/>
        <v>49000</v>
      </c>
      <c r="J606" s="10">
        <f ca="1">Table2[[#This Row],[Unit Price]] * RANDBETWEEN(70,90)/100</f>
        <v>415</v>
      </c>
      <c r="K606" s="12">
        <f ca="1">(Table2[[#This Row],[Unit Price]] - Table2[[#This Row],[Cost per Unit]]) * Table2[[#This Row],[Units Sold]]</f>
        <v>8330</v>
      </c>
    </row>
    <row r="607" spans="1:11" ht="15.6" x14ac:dyDescent="0.3">
      <c r="A607" s="5" cm="1">
        <f t="array" ref="A607">1000 + ROW(607:607)</f>
        <v>1607</v>
      </c>
      <c r="B607" s="6">
        <f t="shared" ca="1" si="45"/>
        <v>45359</v>
      </c>
      <c r="C607" s="5" t="str" cm="1">
        <f t="array" aca="1" ref="C607" ca="1">INDEX({"S001","S002","S003","S004","S005"}, RANDBETWEEN(1,5))</f>
        <v>S002</v>
      </c>
      <c r="D607" s="5" t="str" cm="1">
        <f t="array" aca="1" ref="D607" ca="1">INDEX({"Mumbai","Delhi","Bangalore","Ahmedabad","Chennai"}, RANDBETWEEN(1,5))</f>
        <v>Chennai</v>
      </c>
      <c r="E607" s="5" t="str" cm="1">
        <f t="array" aca="1" ref="E607" ca="1">INDEX({"Electronics","Groceries","Furniture","Clothing","Stationery"}, RANDBETWEEN(1,5))</f>
        <v>Stationery</v>
      </c>
      <c r="F607" s="5" t="str">
        <f t="shared" ca="1" si="46"/>
        <v>Shampoo</v>
      </c>
      <c r="G607" s="8">
        <f t="shared" ca="1" si="47"/>
        <v>36</v>
      </c>
      <c r="H607" s="10">
        <f t="shared" ca="1" si="48"/>
        <v>30000</v>
      </c>
      <c r="I607" s="10">
        <f t="shared" ca="1" si="49"/>
        <v>1080000</v>
      </c>
      <c r="J607" s="10">
        <f ca="1">Table2[[#This Row],[Unit Price]] * RANDBETWEEN(70,90)/100</f>
        <v>23400</v>
      </c>
      <c r="K607" s="12">
        <f ca="1">(Table2[[#This Row],[Unit Price]] - Table2[[#This Row],[Cost per Unit]]) * Table2[[#This Row],[Units Sold]]</f>
        <v>237600</v>
      </c>
    </row>
    <row r="608" spans="1:11" ht="15.6" x14ac:dyDescent="0.3">
      <c r="A608" s="5" cm="1">
        <f t="array" ref="A608">1000 + ROW(608:608)</f>
        <v>1608</v>
      </c>
      <c r="B608" s="6">
        <f t="shared" ca="1" si="45"/>
        <v>45351</v>
      </c>
      <c r="C608" s="5" t="str" cm="1">
        <f t="array" aca="1" ref="C608" ca="1">INDEX({"S001","S002","S003","S004","S005"}, RANDBETWEEN(1,5))</f>
        <v>S002</v>
      </c>
      <c r="D608" s="5" t="str" cm="1">
        <f t="array" aca="1" ref="D608" ca="1">INDEX({"Mumbai","Delhi","Bangalore","Ahmedabad","Chennai"}, RANDBETWEEN(1,5))</f>
        <v>Bangalore</v>
      </c>
      <c r="E608" s="5" t="str" cm="1">
        <f t="array" aca="1" ref="E608" ca="1">INDEX({"Electronics","Groceries","Furniture","Clothing","Stationery"}, RANDBETWEEN(1,5))</f>
        <v>Clothing</v>
      </c>
      <c r="F608" s="5" t="str">
        <f t="shared" ca="1" si="46"/>
        <v>Shampoo</v>
      </c>
      <c r="G608" s="8">
        <f t="shared" ca="1" si="47"/>
        <v>29</v>
      </c>
      <c r="H608" s="10">
        <f t="shared" ca="1" si="48"/>
        <v>500</v>
      </c>
      <c r="I608" s="10">
        <f t="shared" ca="1" si="49"/>
        <v>14500</v>
      </c>
      <c r="J608" s="10">
        <f ca="1">Table2[[#This Row],[Unit Price]] * RANDBETWEEN(70,90)/100</f>
        <v>395</v>
      </c>
      <c r="K608" s="12">
        <f ca="1">(Table2[[#This Row],[Unit Price]] - Table2[[#This Row],[Cost per Unit]]) * Table2[[#This Row],[Units Sold]]</f>
        <v>3045</v>
      </c>
    </row>
    <row r="609" spans="1:11" ht="15.6" x14ac:dyDescent="0.3">
      <c r="A609" s="5" cm="1">
        <f t="array" ref="A609">1000 + ROW(609:609)</f>
        <v>1609</v>
      </c>
      <c r="B609" s="6">
        <f t="shared" ca="1" si="45"/>
        <v>45345</v>
      </c>
      <c r="C609" s="5" t="str" cm="1">
        <f t="array" aca="1" ref="C609" ca="1">INDEX({"S001","S002","S003","S004","S005"}, RANDBETWEEN(1,5))</f>
        <v>S005</v>
      </c>
      <c r="D609" s="5" t="str" cm="1">
        <f t="array" aca="1" ref="D609" ca="1">INDEX({"Mumbai","Delhi","Bangalore","Ahmedabad","Chennai"}, RANDBETWEEN(1,5))</f>
        <v>Bangalore</v>
      </c>
      <c r="E609" s="5" t="str" cm="1">
        <f t="array" aca="1" ref="E609" ca="1">INDEX({"Electronics","Groceries","Furniture","Clothing","Stationery"}, RANDBETWEEN(1,5))</f>
        <v>Furniture</v>
      </c>
      <c r="F609" s="5" t="str">
        <f t="shared" ca="1" si="46"/>
        <v>T-shirt</v>
      </c>
      <c r="G609" s="8">
        <f t="shared" ca="1" si="47"/>
        <v>98</v>
      </c>
      <c r="H609" s="10">
        <f t="shared" ca="1" si="48"/>
        <v>300</v>
      </c>
      <c r="I609" s="10">
        <f t="shared" ca="1" si="49"/>
        <v>29400</v>
      </c>
      <c r="J609" s="10">
        <f ca="1">Table2[[#This Row],[Unit Price]] * RANDBETWEEN(70,90)/100</f>
        <v>234</v>
      </c>
      <c r="K609" s="12">
        <f ca="1">(Table2[[#This Row],[Unit Price]] - Table2[[#This Row],[Cost per Unit]]) * Table2[[#This Row],[Units Sold]]</f>
        <v>6468</v>
      </c>
    </row>
    <row r="610" spans="1:11" ht="15.6" x14ac:dyDescent="0.3">
      <c r="A610" s="5" cm="1">
        <f t="array" ref="A610">1000 + ROW(610:610)</f>
        <v>1610</v>
      </c>
      <c r="B610" s="6">
        <f t="shared" ca="1" si="45"/>
        <v>45317</v>
      </c>
      <c r="C610" s="5" t="str" cm="1">
        <f t="array" aca="1" ref="C610" ca="1">INDEX({"S001","S002","S003","S004","S005"}, RANDBETWEEN(1,5))</f>
        <v>S003</v>
      </c>
      <c r="D610" s="5" t="str" cm="1">
        <f t="array" aca="1" ref="D610" ca="1">INDEX({"Mumbai","Delhi","Bangalore","Ahmedabad","Chennai"}, RANDBETWEEN(1,5))</f>
        <v>Bangalore</v>
      </c>
      <c r="E610" s="5" t="str" cm="1">
        <f t="array" aca="1" ref="E610" ca="1">INDEX({"Electronics","Groceries","Furniture","Clothing","Stationery"}, RANDBETWEEN(1,5))</f>
        <v>Groceries</v>
      </c>
      <c r="F610" s="5" t="str">
        <f t="shared" ca="1" si="46"/>
        <v>Smartphone</v>
      </c>
      <c r="G610" s="8">
        <f t="shared" ca="1" si="47"/>
        <v>88</v>
      </c>
      <c r="H610" s="10">
        <f t="shared" ca="1" si="48"/>
        <v>250</v>
      </c>
      <c r="I610" s="10">
        <f t="shared" ca="1" si="49"/>
        <v>22000</v>
      </c>
      <c r="J610" s="10">
        <f ca="1">Table2[[#This Row],[Unit Price]] * RANDBETWEEN(70,90)/100</f>
        <v>215</v>
      </c>
      <c r="K610" s="12">
        <f ca="1">(Table2[[#This Row],[Unit Price]] - Table2[[#This Row],[Cost per Unit]]) * Table2[[#This Row],[Units Sold]]</f>
        <v>3080</v>
      </c>
    </row>
    <row r="611" spans="1:11" ht="15.6" x14ac:dyDescent="0.3">
      <c r="A611" s="5" cm="1">
        <f t="array" ref="A611">1000 + ROW(611:611)</f>
        <v>1611</v>
      </c>
      <c r="B611" s="6">
        <f t="shared" ca="1" si="45"/>
        <v>45339</v>
      </c>
      <c r="C611" s="5" t="str" cm="1">
        <f t="array" aca="1" ref="C611" ca="1">INDEX({"S001","S002","S003","S004","S005"}, RANDBETWEEN(1,5))</f>
        <v>S005</v>
      </c>
      <c r="D611" s="5" t="str" cm="1">
        <f t="array" aca="1" ref="D611" ca="1">INDEX({"Mumbai","Delhi","Bangalore","Ahmedabad","Chennai"}, RANDBETWEEN(1,5))</f>
        <v>Mumbai</v>
      </c>
      <c r="E611" s="5" t="str" cm="1">
        <f t="array" aca="1" ref="E611" ca="1">INDEX({"Electronics","Groceries","Furniture","Clothing","Stationery"}, RANDBETWEEN(1,5))</f>
        <v>Clothing</v>
      </c>
      <c r="F611" s="5" t="str">
        <f t="shared" ca="1" si="46"/>
        <v>T-shirt</v>
      </c>
      <c r="G611" s="8">
        <f t="shared" ca="1" si="47"/>
        <v>59</v>
      </c>
      <c r="H611" s="10">
        <f t="shared" ca="1" si="48"/>
        <v>300</v>
      </c>
      <c r="I611" s="10">
        <f t="shared" ca="1" si="49"/>
        <v>17700</v>
      </c>
      <c r="J611" s="10">
        <f ca="1">Table2[[#This Row],[Unit Price]] * RANDBETWEEN(70,90)/100</f>
        <v>243</v>
      </c>
      <c r="K611" s="12">
        <f ca="1">(Table2[[#This Row],[Unit Price]] - Table2[[#This Row],[Cost per Unit]]) * Table2[[#This Row],[Units Sold]]</f>
        <v>3363</v>
      </c>
    </row>
    <row r="612" spans="1:11" ht="15.6" x14ac:dyDescent="0.3">
      <c r="A612" s="5" cm="1">
        <f t="array" ref="A612">1000 + ROW(612:612)</f>
        <v>1612</v>
      </c>
      <c r="B612" s="6">
        <f t="shared" ca="1" si="45"/>
        <v>45371</v>
      </c>
      <c r="C612" s="5" t="str" cm="1">
        <f t="array" aca="1" ref="C612" ca="1">INDEX({"S001","S002","S003","S004","S005"}, RANDBETWEEN(1,5))</f>
        <v>S002</v>
      </c>
      <c r="D612" s="5" t="str" cm="1">
        <f t="array" aca="1" ref="D612" ca="1">INDEX({"Mumbai","Delhi","Bangalore","Ahmedabad","Chennai"}, RANDBETWEEN(1,5))</f>
        <v>Mumbai</v>
      </c>
      <c r="E612" s="5" t="str" cm="1">
        <f t="array" aca="1" ref="E612" ca="1">INDEX({"Electronics","Groceries","Furniture","Clothing","Stationery"}, RANDBETWEEN(1,5))</f>
        <v>Furniture</v>
      </c>
      <c r="F612" s="5" t="str">
        <f t="shared" ca="1" si="46"/>
        <v>Notebook</v>
      </c>
      <c r="G612" s="8">
        <f t="shared" ca="1" si="47"/>
        <v>64</v>
      </c>
      <c r="H612" s="10">
        <f t="shared" ca="1" si="48"/>
        <v>300</v>
      </c>
      <c r="I612" s="10">
        <f t="shared" ca="1" si="49"/>
        <v>19200</v>
      </c>
      <c r="J612" s="10">
        <f ca="1">Table2[[#This Row],[Unit Price]] * RANDBETWEEN(70,90)/100</f>
        <v>246</v>
      </c>
      <c r="K612" s="12">
        <f ca="1">(Table2[[#This Row],[Unit Price]] - Table2[[#This Row],[Cost per Unit]]) * Table2[[#This Row],[Units Sold]]</f>
        <v>3456</v>
      </c>
    </row>
    <row r="613" spans="1:11" ht="15.6" x14ac:dyDescent="0.3">
      <c r="A613" s="5" cm="1">
        <f t="array" ref="A613">1000 + ROW(613:613)</f>
        <v>1613</v>
      </c>
      <c r="B613" s="6">
        <f t="shared" ca="1" si="45"/>
        <v>45365</v>
      </c>
      <c r="C613" s="5" t="str" cm="1">
        <f t="array" aca="1" ref="C613" ca="1">INDEX({"S001","S002","S003","S004","S005"}, RANDBETWEEN(1,5))</f>
        <v>S005</v>
      </c>
      <c r="D613" s="5" t="str" cm="1">
        <f t="array" aca="1" ref="D613" ca="1">INDEX({"Mumbai","Delhi","Bangalore","Ahmedabad","Chennai"}, RANDBETWEEN(1,5))</f>
        <v>Bangalore</v>
      </c>
      <c r="E613" s="5" t="str" cm="1">
        <f t="array" aca="1" ref="E613" ca="1">INDEX({"Electronics","Groceries","Furniture","Clothing","Stationery"}, RANDBETWEEN(1,5))</f>
        <v>Groceries</v>
      </c>
      <c r="F613" s="5" t="str">
        <f t="shared" ca="1" si="46"/>
        <v>Smartphone</v>
      </c>
      <c r="G613" s="8">
        <f t="shared" ca="1" si="47"/>
        <v>72</v>
      </c>
      <c r="H613" s="10">
        <f t="shared" ca="1" si="48"/>
        <v>50</v>
      </c>
      <c r="I613" s="10">
        <f t="shared" ca="1" si="49"/>
        <v>3600</v>
      </c>
      <c r="J613" s="10">
        <f ca="1">Table2[[#This Row],[Unit Price]] * RANDBETWEEN(70,90)/100</f>
        <v>40</v>
      </c>
      <c r="K613" s="12">
        <f ca="1">(Table2[[#This Row],[Unit Price]] - Table2[[#This Row],[Cost per Unit]]) * Table2[[#This Row],[Units Sold]]</f>
        <v>720</v>
      </c>
    </row>
    <row r="614" spans="1:11" ht="15.6" x14ac:dyDescent="0.3">
      <c r="A614" s="5" cm="1">
        <f t="array" ref="A614">1000 + ROW(614:614)</f>
        <v>1614</v>
      </c>
      <c r="B614" s="6">
        <f t="shared" ca="1" si="45"/>
        <v>45328</v>
      </c>
      <c r="C614" s="5" t="str" cm="1">
        <f t="array" aca="1" ref="C614" ca="1">INDEX({"S001","S002","S003","S004","S005"}, RANDBETWEEN(1,5))</f>
        <v>S005</v>
      </c>
      <c r="D614" s="5" t="str" cm="1">
        <f t="array" aca="1" ref="D614" ca="1">INDEX({"Mumbai","Delhi","Bangalore","Ahmedabad","Chennai"}, RANDBETWEEN(1,5))</f>
        <v>Bangalore</v>
      </c>
      <c r="E614" s="5" t="str" cm="1">
        <f t="array" aca="1" ref="E614" ca="1">INDEX({"Electronics","Groceries","Furniture","Clothing","Stationery"}, RANDBETWEEN(1,5))</f>
        <v>Furniture</v>
      </c>
      <c r="F614" s="5" t="str">
        <f t="shared" ca="1" si="46"/>
        <v>Desk Lamp</v>
      </c>
      <c r="G614" s="8">
        <f t="shared" ca="1" si="47"/>
        <v>6</v>
      </c>
      <c r="H614" s="10">
        <f t="shared" ca="1" si="48"/>
        <v>500</v>
      </c>
      <c r="I614" s="10">
        <f t="shared" ca="1" si="49"/>
        <v>3000</v>
      </c>
      <c r="J614" s="10">
        <f ca="1">Table2[[#This Row],[Unit Price]] * RANDBETWEEN(70,90)/100</f>
        <v>360</v>
      </c>
      <c r="K614" s="12">
        <f ca="1">(Table2[[#This Row],[Unit Price]] - Table2[[#This Row],[Cost per Unit]]) * Table2[[#This Row],[Units Sold]]</f>
        <v>840</v>
      </c>
    </row>
    <row r="615" spans="1:11" ht="15.6" x14ac:dyDescent="0.3">
      <c r="A615" s="5" cm="1">
        <f t="array" ref="A615">1000 + ROW(615:615)</f>
        <v>1615</v>
      </c>
      <c r="B615" s="6">
        <f t="shared" ca="1" si="45"/>
        <v>45331</v>
      </c>
      <c r="C615" s="5" t="str" cm="1">
        <f t="array" aca="1" ref="C615" ca="1">INDEX({"S001","S002","S003","S004","S005"}, RANDBETWEEN(1,5))</f>
        <v>S003</v>
      </c>
      <c r="D615" s="5" t="str" cm="1">
        <f t="array" aca="1" ref="D615" ca="1">INDEX({"Mumbai","Delhi","Bangalore","Ahmedabad","Chennai"}, RANDBETWEEN(1,5))</f>
        <v>Chennai</v>
      </c>
      <c r="E615" s="5" t="str" cm="1">
        <f t="array" aca="1" ref="E615" ca="1">INDEX({"Electronics","Groceries","Furniture","Clothing","Stationery"}, RANDBETWEEN(1,5))</f>
        <v>Furniture</v>
      </c>
      <c r="F615" s="5" t="str">
        <f t="shared" ca="1" si="46"/>
        <v>Notebook</v>
      </c>
      <c r="G615" s="8">
        <f t="shared" ca="1" si="47"/>
        <v>38</v>
      </c>
      <c r="H615" s="10">
        <f t="shared" ca="1" si="48"/>
        <v>700</v>
      </c>
      <c r="I615" s="10">
        <f t="shared" ca="1" si="49"/>
        <v>26600</v>
      </c>
      <c r="J615" s="10">
        <f ca="1">Table2[[#This Row],[Unit Price]] * RANDBETWEEN(70,90)/100</f>
        <v>630</v>
      </c>
      <c r="K615" s="12">
        <f ca="1">(Table2[[#This Row],[Unit Price]] - Table2[[#This Row],[Cost per Unit]]) * Table2[[#This Row],[Units Sold]]</f>
        <v>2660</v>
      </c>
    </row>
    <row r="616" spans="1:11" ht="15.6" x14ac:dyDescent="0.3">
      <c r="A616" s="5" cm="1">
        <f t="array" ref="A616">1000 + ROW(616:616)</f>
        <v>1616</v>
      </c>
      <c r="B616" s="6">
        <f t="shared" ca="1" si="45"/>
        <v>45310</v>
      </c>
      <c r="C616" s="5" t="str" cm="1">
        <f t="array" aca="1" ref="C616" ca="1">INDEX({"S001","S002","S003","S004","S005"}, RANDBETWEEN(1,5))</f>
        <v>S005</v>
      </c>
      <c r="D616" s="5" t="str" cm="1">
        <f t="array" aca="1" ref="D616" ca="1">INDEX({"Mumbai","Delhi","Bangalore","Ahmedabad","Chennai"}, RANDBETWEEN(1,5))</f>
        <v>Mumbai</v>
      </c>
      <c r="E616" s="5" t="str" cm="1">
        <f t="array" aca="1" ref="E616" ca="1">INDEX({"Electronics","Groceries","Furniture","Clothing","Stationery"}, RANDBETWEEN(1,5))</f>
        <v>Furniture</v>
      </c>
      <c r="F616" s="5" t="str">
        <f t="shared" ca="1" si="46"/>
        <v>Rice 5kg</v>
      </c>
      <c r="G616" s="8">
        <f t="shared" ca="1" si="47"/>
        <v>15</v>
      </c>
      <c r="H616" s="10">
        <f t="shared" ca="1" si="48"/>
        <v>150</v>
      </c>
      <c r="I616" s="10">
        <f t="shared" ca="1" si="49"/>
        <v>2250</v>
      </c>
      <c r="J616" s="10">
        <f ca="1">Table2[[#This Row],[Unit Price]] * RANDBETWEEN(70,90)/100</f>
        <v>115.5</v>
      </c>
      <c r="K616" s="12">
        <f ca="1">(Table2[[#This Row],[Unit Price]] - Table2[[#This Row],[Cost per Unit]]) * Table2[[#This Row],[Units Sold]]</f>
        <v>517.5</v>
      </c>
    </row>
    <row r="617" spans="1:11" ht="15.6" x14ac:dyDescent="0.3">
      <c r="A617" s="5" cm="1">
        <f t="array" ref="A617">1000 + ROW(617:617)</f>
        <v>1617</v>
      </c>
      <c r="B617" s="6">
        <f t="shared" ca="1" si="45"/>
        <v>45370</v>
      </c>
      <c r="C617" s="5" t="str" cm="1">
        <f t="array" aca="1" ref="C617" ca="1">INDEX({"S001","S002","S003","S004","S005"}, RANDBETWEEN(1,5))</f>
        <v>S004</v>
      </c>
      <c r="D617" s="5" t="str" cm="1">
        <f t="array" aca="1" ref="D617" ca="1">INDEX({"Mumbai","Delhi","Bangalore","Ahmedabad","Chennai"}, RANDBETWEEN(1,5))</f>
        <v>Delhi</v>
      </c>
      <c r="E617" s="5" t="str" cm="1">
        <f t="array" aca="1" ref="E617" ca="1">INDEX({"Electronics","Groceries","Furniture","Clothing","Stationery"}, RANDBETWEEN(1,5))</f>
        <v>Electronics</v>
      </c>
      <c r="F617" s="5" t="str">
        <f t="shared" ca="1" si="46"/>
        <v>Smartphone</v>
      </c>
      <c r="G617" s="8">
        <f t="shared" ca="1" si="47"/>
        <v>44</v>
      </c>
      <c r="H617" s="10">
        <f t="shared" ca="1" si="48"/>
        <v>500</v>
      </c>
      <c r="I617" s="10">
        <f t="shared" ca="1" si="49"/>
        <v>22000</v>
      </c>
      <c r="J617" s="10">
        <f ca="1">Table2[[#This Row],[Unit Price]] * RANDBETWEEN(70,90)/100</f>
        <v>350</v>
      </c>
      <c r="K617" s="12">
        <f ca="1">(Table2[[#This Row],[Unit Price]] - Table2[[#This Row],[Cost per Unit]]) * Table2[[#This Row],[Units Sold]]</f>
        <v>6600</v>
      </c>
    </row>
    <row r="618" spans="1:11" ht="15.6" x14ac:dyDescent="0.3">
      <c r="A618" s="5" cm="1">
        <f t="array" ref="A618">1000 + ROW(618:618)</f>
        <v>1618</v>
      </c>
      <c r="B618" s="6">
        <f t="shared" ca="1" si="45"/>
        <v>45306</v>
      </c>
      <c r="C618" s="5" t="str" cm="1">
        <f t="array" aca="1" ref="C618" ca="1">INDEX({"S001","S002","S003","S004","S005"}, RANDBETWEEN(1,5))</f>
        <v>S004</v>
      </c>
      <c r="D618" s="5" t="str" cm="1">
        <f t="array" aca="1" ref="D618" ca="1">INDEX({"Mumbai","Delhi","Bangalore","Ahmedabad","Chennai"}, RANDBETWEEN(1,5))</f>
        <v>Ahmedabad</v>
      </c>
      <c r="E618" s="5" t="str" cm="1">
        <f t="array" aca="1" ref="E618" ca="1">INDEX({"Electronics","Groceries","Furniture","Clothing","Stationery"}, RANDBETWEEN(1,5))</f>
        <v>Stationery</v>
      </c>
      <c r="F618" s="5" t="str">
        <f t="shared" ca="1" si="46"/>
        <v>Smartphone</v>
      </c>
      <c r="G618" s="8">
        <f t="shared" ca="1" si="47"/>
        <v>83</v>
      </c>
      <c r="H618" s="10">
        <f t="shared" ca="1" si="48"/>
        <v>700</v>
      </c>
      <c r="I618" s="10">
        <f t="shared" ca="1" si="49"/>
        <v>58100</v>
      </c>
      <c r="J618" s="10">
        <f ca="1">Table2[[#This Row],[Unit Price]] * RANDBETWEEN(70,90)/100</f>
        <v>616</v>
      </c>
      <c r="K618" s="12">
        <f ca="1">(Table2[[#This Row],[Unit Price]] - Table2[[#This Row],[Cost per Unit]]) * Table2[[#This Row],[Units Sold]]</f>
        <v>6972</v>
      </c>
    </row>
    <row r="619" spans="1:11" ht="15.6" x14ac:dyDescent="0.3">
      <c r="A619" s="5" cm="1">
        <f t="array" ref="A619">1000 + ROW(619:619)</f>
        <v>1619</v>
      </c>
      <c r="B619" s="6">
        <f t="shared" ca="1" si="45"/>
        <v>45374</v>
      </c>
      <c r="C619" s="5" t="str" cm="1">
        <f t="array" aca="1" ref="C619" ca="1">INDEX({"S001","S002","S003","S004","S005"}, RANDBETWEEN(1,5))</f>
        <v>S004</v>
      </c>
      <c r="D619" s="5" t="str" cm="1">
        <f t="array" aca="1" ref="D619" ca="1">INDEX({"Mumbai","Delhi","Bangalore","Ahmedabad","Chennai"}, RANDBETWEEN(1,5))</f>
        <v>Mumbai</v>
      </c>
      <c r="E619" s="5" t="str" cm="1">
        <f t="array" aca="1" ref="E619" ca="1">INDEX({"Electronics","Groceries","Furniture","Clothing","Stationery"}, RANDBETWEEN(1,5))</f>
        <v>Clothing</v>
      </c>
      <c r="F619" s="5" t="str">
        <f t="shared" ca="1" si="46"/>
        <v>Cooking Oil 1L</v>
      </c>
      <c r="G619" s="8">
        <f t="shared" ca="1" si="47"/>
        <v>100</v>
      </c>
      <c r="H619" s="10">
        <f t="shared" ca="1" si="48"/>
        <v>250</v>
      </c>
      <c r="I619" s="10">
        <f t="shared" ca="1" si="49"/>
        <v>25000</v>
      </c>
      <c r="J619" s="10">
        <f ca="1">Table2[[#This Row],[Unit Price]] * RANDBETWEEN(70,90)/100</f>
        <v>212.5</v>
      </c>
      <c r="K619" s="12">
        <f ca="1">(Table2[[#This Row],[Unit Price]] - Table2[[#This Row],[Cost per Unit]]) * Table2[[#This Row],[Units Sold]]</f>
        <v>3750</v>
      </c>
    </row>
    <row r="620" spans="1:11" ht="15.6" x14ac:dyDescent="0.3">
      <c r="A620" s="5" cm="1">
        <f t="array" ref="A620">1000 + ROW(620:620)</f>
        <v>1620</v>
      </c>
      <c r="B620" s="6">
        <f t="shared" ca="1" si="45"/>
        <v>45378</v>
      </c>
      <c r="C620" s="5" t="str" cm="1">
        <f t="array" aca="1" ref="C620" ca="1">INDEX({"S001","S002","S003","S004","S005"}, RANDBETWEEN(1,5))</f>
        <v>S001</v>
      </c>
      <c r="D620" s="5" t="str" cm="1">
        <f t="array" aca="1" ref="D620" ca="1">INDEX({"Mumbai","Delhi","Bangalore","Ahmedabad","Chennai"}, RANDBETWEEN(1,5))</f>
        <v>Delhi</v>
      </c>
      <c r="E620" s="5" t="str" cm="1">
        <f t="array" aca="1" ref="E620" ca="1">INDEX({"Electronics","Groceries","Furniture","Clothing","Stationery"}, RANDBETWEEN(1,5))</f>
        <v>Stationery</v>
      </c>
      <c r="F620" s="5" t="str">
        <f t="shared" ca="1" si="46"/>
        <v>Smartphone</v>
      </c>
      <c r="G620" s="8">
        <f t="shared" ca="1" si="47"/>
        <v>15</v>
      </c>
      <c r="H620" s="10">
        <f t="shared" ca="1" si="48"/>
        <v>300</v>
      </c>
      <c r="I620" s="10">
        <f t="shared" ca="1" si="49"/>
        <v>4500</v>
      </c>
      <c r="J620" s="10">
        <f ca="1">Table2[[#This Row],[Unit Price]] * RANDBETWEEN(70,90)/100</f>
        <v>231</v>
      </c>
      <c r="K620" s="12">
        <f ca="1">(Table2[[#This Row],[Unit Price]] - Table2[[#This Row],[Cost per Unit]]) * Table2[[#This Row],[Units Sold]]</f>
        <v>1035</v>
      </c>
    </row>
    <row r="621" spans="1:11" ht="15.6" x14ac:dyDescent="0.3">
      <c r="A621" s="5" cm="1">
        <f t="array" ref="A621">1000 + ROW(621:621)</f>
        <v>1621</v>
      </c>
      <c r="B621" s="6">
        <f t="shared" ca="1" si="45"/>
        <v>45321</v>
      </c>
      <c r="C621" s="5" t="str" cm="1">
        <f t="array" aca="1" ref="C621" ca="1">INDEX({"S001","S002","S003","S004","S005"}, RANDBETWEEN(1,5))</f>
        <v>S003</v>
      </c>
      <c r="D621" s="5" t="str" cm="1">
        <f t="array" aca="1" ref="D621" ca="1">INDEX({"Mumbai","Delhi","Bangalore","Ahmedabad","Chennai"}, RANDBETWEEN(1,5))</f>
        <v>Ahmedabad</v>
      </c>
      <c r="E621" s="5" t="str" cm="1">
        <f t="array" aca="1" ref="E621" ca="1">INDEX({"Electronics","Groceries","Furniture","Clothing","Stationery"}, RANDBETWEEN(1,5))</f>
        <v>Stationery</v>
      </c>
      <c r="F621" s="5" t="str">
        <f t="shared" ca="1" si="46"/>
        <v>Laptop</v>
      </c>
      <c r="G621" s="8">
        <f t="shared" ca="1" si="47"/>
        <v>63</v>
      </c>
      <c r="H621" s="10">
        <f t="shared" ca="1" si="48"/>
        <v>300</v>
      </c>
      <c r="I621" s="10">
        <f t="shared" ca="1" si="49"/>
        <v>18900</v>
      </c>
      <c r="J621" s="10">
        <f ca="1">Table2[[#This Row],[Unit Price]] * RANDBETWEEN(70,90)/100</f>
        <v>261</v>
      </c>
      <c r="K621" s="12">
        <f ca="1">(Table2[[#This Row],[Unit Price]] - Table2[[#This Row],[Cost per Unit]]) * Table2[[#This Row],[Units Sold]]</f>
        <v>2457</v>
      </c>
    </row>
    <row r="622" spans="1:11" ht="15.6" x14ac:dyDescent="0.3">
      <c r="A622" s="5" cm="1">
        <f t="array" ref="A622">1000 + ROW(622:622)</f>
        <v>1622</v>
      </c>
      <c r="B622" s="6">
        <f t="shared" ca="1" si="45"/>
        <v>45319</v>
      </c>
      <c r="C622" s="5" t="str" cm="1">
        <f t="array" aca="1" ref="C622" ca="1">INDEX({"S001","S002","S003","S004","S005"}, RANDBETWEEN(1,5))</f>
        <v>S004</v>
      </c>
      <c r="D622" s="5" t="str" cm="1">
        <f t="array" aca="1" ref="D622" ca="1">INDEX({"Mumbai","Delhi","Bangalore","Ahmedabad","Chennai"}, RANDBETWEEN(1,5))</f>
        <v>Mumbai</v>
      </c>
      <c r="E622" s="5" t="str" cm="1">
        <f t="array" aca="1" ref="E622" ca="1">INDEX({"Electronics","Groceries","Furniture","Clothing","Stationery"}, RANDBETWEEN(1,5))</f>
        <v>Furniture</v>
      </c>
      <c r="F622" s="5" t="str">
        <f t="shared" ca="1" si="46"/>
        <v>Cooking Oil 1L</v>
      </c>
      <c r="G622" s="8">
        <f t="shared" ca="1" si="47"/>
        <v>65</v>
      </c>
      <c r="H622" s="10">
        <f t="shared" ca="1" si="48"/>
        <v>500</v>
      </c>
      <c r="I622" s="10">
        <f t="shared" ca="1" si="49"/>
        <v>32500</v>
      </c>
      <c r="J622" s="10">
        <f ca="1">Table2[[#This Row],[Unit Price]] * RANDBETWEEN(70,90)/100</f>
        <v>360</v>
      </c>
      <c r="K622" s="12">
        <f ca="1">(Table2[[#This Row],[Unit Price]] - Table2[[#This Row],[Cost per Unit]]) * Table2[[#This Row],[Units Sold]]</f>
        <v>9100</v>
      </c>
    </row>
    <row r="623" spans="1:11" ht="15.6" x14ac:dyDescent="0.3">
      <c r="A623" s="5" cm="1">
        <f t="array" ref="A623">1000 + ROW(623:623)</f>
        <v>1623</v>
      </c>
      <c r="B623" s="6">
        <f t="shared" ca="1" si="45"/>
        <v>45312</v>
      </c>
      <c r="C623" s="5" t="str" cm="1">
        <f t="array" aca="1" ref="C623" ca="1">INDEX({"S001","S002","S003","S004","S005"}, RANDBETWEEN(1,5))</f>
        <v>S003</v>
      </c>
      <c r="D623" s="5" t="str" cm="1">
        <f t="array" aca="1" ref="D623" ca="1">INDEX({"Mumbai","Delhi","Bangalore","Ahmedabad","Chennai"}, RANDBETWEEN(1,5))</f>
        <v>Chennai</v>
      </c>
      <c r="E623" s="5" t="str" cm="1">
        <f t="array" aca="1" ref="E623" ca="1">INDEX({"Electronics","Groceries","Furniture","Clothing","Stationery"}, RANDBETWEEN(1,5))</f>
        <v>Furniture</v>
      </c>
      <c r="F623" s="5" t="str">
        <f t="shared" ca="1" si="46"/>
        <v>Notebook</v>
      </c>
      <c r="G623" s="8">
        <f t="shared" ca="1" si="47"/>
        <v>30</v>
      </c>
      <c r="H623" s="10">
        <f t="shared" ca="1" si="48"/>
        <v>1200</v>
      </c>
      <c r="I623" s="10">
        <f t="shared" ca="1" si="49"/>
        <v>36000</v>
      </c>
      <c r="J623" s="10">
        <f ca="1">Table2[[#This Row],[Unit Price]] * RANDBETWEEN(70,90)/100</f>
        <v>1032</v>
      </c>
      <c r="K623" s="12">
        <f ca="1">(Table2[[#This Row],[Unit Price]] - Table2[[#This Row],[Cost per Unit]]) * Table2[[#This Row],[Units Sold]]</f>
        <v>5040</v>
      </c>
    </row>
    <row r="624" spans="1:11" ht="15.6" x14ac:dyDescent="0.3">
      <c r="A624" s="5" cm="1">
        <f t="array" ref="A624">1000 + ROW(624:624)</f>
        <v>1624</v>
      </c>
      <c r="B624" s="6">
        <f t="shared" ca="1" si="45"/>
        <v>45364</v>
      </c>
      <c r="C624" s="5" t="str" cm="1">
        <f t="array" aca="1" ref="C624" ca="1">INDEX({"S001","S002","S003","S004","S005"}, RANDBETWEEN(1,5))</f>
        <v>S004</v>
      </c>
      <c r="D624" s="5" t="str" cm="1">
        <f t="array" aca="1" ref="D624" ca="1">INDEX({"Mumbai","Delhi","Bangalore","Ahmedabad","Chennai"}, RANDBETWEEN(1,5))</f>
        <v>Mumbai</v>
      </c>
      <c r="E624" s="5" t="str" cm="1">
        <f t="array" aca="1" ref="E624" ca="1">INDEX({"Electronics","Groceries","Furniture","Clothing","Stationery"}, RANDBETWEEN(1,5))</f>
        <v>Stationery</v>
      </c>
      <c r="F624" s="5" t="str">
        <f t="shared" ca="1" si="46"/>
        <v>Cooking Oil 1L</v>
      </c>
      <c r="G624" s="8">
        <f t="shared" ca="1" si="47"/>
        <v>38</v>
      </c>
      <c r="H624" s="10">
        <f t="shared" ca="1" si="48"/>
        <v>250</v>
      </c>
      <c r="I624" s="10">
        <f t="shared" ca="1" si="49"/>
        <v>9500</v>
      </c>
      <c r="J624" s="10">
        <f ca="1">Table2[[#This Row],[Unit Price]] * RANDBETWEEN(70,90)/100</f>
        <v>177.5</v>
      </c>
      <c r="K624" s="12">
        <f ca="1">(Table2[[#This Row],[Unit Price]] - Table2[[#This Row],[Cost per Unit]]) * Table2[[#This Row],[Units Sold]]</f>
        <v>2755</v>
      </c>
    </row>
    <row r="625" spans="1:11" ht="15.6" x14ac:dyDescent="0.3">
      <c r="A625" s="5" cm="1">
        <f t="array" ref="A625">1000 + ROW(625:625)</f>
        <v>1625</v>
      </c>
      <c r="B625" s="6">
        <f t="shared" ca="1" si="45"/>
        <v>45304</v>
      </c>
      <c r="C625" s="5" t="str" cm="1">
        <f t="array" aca="1" ref="C625" ca="1">INDEX({"S001","S002","S003","S004","S005"}, RANDBETWEEN(1,5))</f>
        <v>S001</v>
      </c>
      <c r="D625" s="5" t="str" cm="1">
        <f t="array" aca="1" ref="D625" ca="1">INDEX({"Mumbai","Delhi","Bangalore","Ahmedabad","Chennai"}, RANDBETWEEN(1,5))</f>
        <v>Mumbai</v>
      </c>
      <c r="E625" s="5" t="str" cm="1">
        <f t="array" aca="1" ref="E625" ca="1">INDEX({"Electronics","Groceries","Furniture","Clothing","Stationery"}, RANDBETWEEN(1,5))</f>
        <v>Furniture</v>
      </c>
      <c r="F625" s="5" t="str">
        <f t="shared" ca="1" si="46"/>
        <v>Laptop</v>
      </c>
      <c r="G625" s="8">
        <f t="shared" ca="1" si="47"/>
        <v>99</v>
      </c>
      <c r="H625" s="10">
        <f t="shared" ca="1" si="48"/>
        <v>1200</v>
      </c>
      <c r="I625" s="10">
        <f t="shared" ca="1" si="49"/>
        <v>118800</v>
      </c>
      <c r="J625" s="10">
        <f ca="1">Table2[[#This Row],[Unit Price]] * RANDBETWEEN(70,90)/100</f>
        <v>1068</v>
      </c>
      <c r="K625" s="12">
        <f ca="1">(Table2[[#This Row],[Unit Price]] - Table2[[#This Row],[Cost per Unit]]) * Table2[[#This Row],[Units Sold]]</f>
        <v>13068</v>
      </c>
    </row>
    <row r="626" spans="1:11" ht="15.6" x14ac:dyDescent="0.3">
      <c r="A626" s="5" cm="1">
        <f t="array" ref="A626">1000 + ROW(626:626)</f>
        <v>1626</v>
      </c>
      <c r="B626" s="6">
        <f t="shared" ca="1" si="45"/>
        <v>45308</v>
      </c>
      <c r="C626" s="5" t="str" cm="1">
        <f t="array" aca="1" ref="C626" ca="1">INDEX({"S001","S002","S003","S004","S005"}, RANDBETWEEN(1,5))</f>
        <v>S003</v>
      </c>
      <c r="D626" s="5" t="str" cm="1">
        <f t="array" aca="1" ref="D626" ca="1">INDEX({"Mumbai","Delhi","Bangalore","Ahmedabad","Chennai"}, RANDBETWEEN(1,5))</f>
        <v>Delhi</v>
      </c>
      <c r="E626" s="5" t="str" cm="1">
        <f t="array" aca="1" ref="E626" ca="1">INDEX({"Electronics","Groceries","Furniture","Clothing","Stationery"}, RANDBETWEEN(1,5))</f>
        <v>Furniture</v>
      </c>
      <c r="F626" s="5" t="str">
        <f t="shared" ca="1" si="46"/>
        <v>T-shirt</v>
      </c>
      <c r="G626" s="8">
        <f t="shared" ca="1" si="47"/>
        <v>61</v>
      </c>
      <c r="H626" s="10">
        <f t="shared" ca="1" si="48"/>
        <v>250</v>
      </c>
      <c r="I626" s="10">
        <f t="shared" ca="1" si="49"/>
        <v>15250</v>
      </c>
      <c r="J626" s="10">
        <f ca="1">Table2[[#This Row],[Unit Price]] * RANDBETWEEN(70,90)/100</f>
        <v>202.5</v>
      </c>
      <c r="K626" s="12">
        <f ca="1">(Table2[[#This Row],[Unit Price]] - Table2[[#This Row],[Cost per Unit]]) * Table2[[#This Row],[Units Sold]]</f>
        <v>2897.5</v>
      </c>
    </row>
    <row r="627" spans="1:11" ht="15.6" x14ac:dyDescent="0.3">
      <c r="A627" s="5" cm="1">
        <f t="array" ref="A627">1000 + ROW(627:627)</f>
        <v>1627</v>
      </c>
      <c r="B627" s="6">
        <f t="shared" ca="1" si="45"/>
        <v>45349</v>
      </c>
      <c r="C627" s="5" t="str" cm="1">
        <f t="array" aca="1" ref="C627" ca="1">INDEX({"S001","S002","S003","S004","S005"}, RANDBETWEEN(1,5))</f>
        <v>S002</v>
      </c>
      <c r="D627" s="5" t="str" cm="1">
        <f t="array" aca="1" ref="D627" ca="1">INDEX({"Mumbai","Delhi","Bangalore","Ahmedabad","Chennai"}, RANDBETWEEN(1,5))</f>
        <v>Bangalore</v>
      </c>
      <c r="E627" s="5" t="str" cm="1">
        <f t="array" aca="1" ref="E627" ca="1">INDEX({"Electronics","Groceries","Furniture","Clothing","Stationery"}, RANDBETWEEN(1,5))</f>
        <v>Furniture</v>
      </c>
      <c r="F627" s="5" t="str">
        <f t="shared" ca="1" si="46"/>
        <v>Laptop</v>
      </c>
      <c r="G627" s="8">
        <f t="shared" ca="1" si="47"/>
        <v>97</v>
      </c>
      <c r="H627" s="10">
        <f t="shared" ca="1" si="48"/>
        <v>15000</v>
      </c>
      <c r="I627" s="10">
        <f t="shared" ca="1" si="49"/>
        <v>1455000</v>
      </c>
      <c r="J627" s="10">
        <f ca="1">Table2[[#This Row],[Unit Price]] * RANDBETWEEN(70,90)/100</f>
        <v>13050</v>
      </c>
      <c r="K627" s="12">
        <f ca="1">(Table2[[#This Row],[Unit Price]] - Table2[[#This Row],[Cost per Unit]]) * Table2[[#This Row],[Units Sold]]</f>
        <v>189150</v>
      </c>
    </row>
    <row r="628" spans="1:11" ht="15.6" x14ac:dyDescent="0.3">
      <c r="A628" s="5" cm="1">
        <f t="array" ref="A628">1000 + ROW(628:628)</f>
        <v>1628</v>
      </c>
      <c r="B628" s="6">
        <f t="shared" ca="1" si="45"/>
        <v>45310</v>
      </c>
      <c r="C628" s="5" t="str" cm="1">
        <f t="array" aca="1" ref="C628" ca="1">INDEX({"S001","S002","S003","S004","S005"}, RANDBETWEEN(1,5))</f>
        <v>S002</v>
      </c>
      <c r="D628" s="5" t="str" cm="1">
        <f t="array" aca="1" ref="D628" ca="1">INDEX({"Mumbai","Delhi","Bangalore","Ahmedabad","Chennai"}, RANDBETWEEN(1,5))</f>
        <v>Delhi</v>
      </c>
      <c r="E628" s="5" t="str" cm="1">
        <f t="array" aca="1" ref="E628" ca="1">INDEX({"Electronics","Groceries","Furniture","Clothing","Stationery"}, RANDBETWEEN(1,5))</f>
        <v>Groceries</v>
      </c>
      <c r="F628" s="5" t="str">
        <f t="shared" ca="1" si="46"/>
        <v>Rice 5kg</v>
      </c>
      <c r="G628" s="8">
        <f t="shared" ca="1" si="47"/>
        <v>7</v>
      </c>
      <c r="H628" s="10">
        <f t="shared" ca="1" si="48"/>
        <v>500</v>
      </c>
      <c r="I628" s="10">
        <f t="shared" ca="1" si="49"/>
        <v>3500</v>
      </c>
      <c r="J628" s="10">
        <f ca="1">Table2[[#This Row],[Unit Price]] * RANDBETWEEN(70,90)/100</f>
        <v>450</v>
      </c>
      <c r="K628" s="12">
        <f ca="1">(Table2[[#This Row],[Unit Price]] - Table2[[#This Row],[Cost per Unit]]) * Table2[[#This Row],[Units Sold]]</f>
        <v>350</v>
      </c>
    </row>
    <row r="629" spans="1:11" ht="15.6" x14ac:dyDescent="0.3">
      <c r="A629" s="5" cm="1">
        <f t="array" ref="A629">1000 + ROW(629:629)</f>
        <v>1629</v>
      </c>
      <c r="B629" s="6">
        <f t="shared" ca="1" si="45"/>
        <v>45338</v>
      </c>
      <c r="C629" s="5" t="str" cm="1">
        <f t="array" aca="1" ref="C629" ca="1">INDEX({"S001","S002","S003","S004","S005"}, RANDBETWEEN(1,5))</f>
        <v>S002</v>
      </c>
      <c r="D629" s="5" t="str" cm="1">
        <f t="array" aca="1" ref="D629" ca="1">INDEX({"Mumbai","Delhi","Bangalore","Ahmedabad","Chennai"}, RANDBETWEEN(1,5))</f>
        <v>Bangalore</v>
      </c>
      <c r="E629" s="5" t="str" cm="1">
        <f t="array" aca="1" ref="E629" ca="1">INDEX({"Electronics","Groceries","Furniture","Clothing","Stationery"}, RANDBETWEEN(1,5))</f>
        <v>Electronics</v>
      </c>
      <c r="F629" s="5" t="str">
        <f t="shared" ca="1" si="46"/>
        <v>Rice 5kg</v>
      </c>
      <c r="G629" s="8">
        <f t="shared" ca="1" si="47"/>
        <v>93</v>
      </c>
      <c r="H629" s="10">
        <f t="shared" ca="1" si="48"/>
        <v>50</v>
      </c>
      <c r="I629" s="10">
        <f t="shared" ca="1" si="49"/>
        <v>4650</v>
      </c>
      <c r="J629" s="10">
        <f ca="1">Table2[[#This Row],[Unit Price]] * RANDBETWEEN(70,90)/100</f>
        <v>39</v>
      </c>
      <c r="K629" s="12">
        <f ca="1">(Table2[[#This Row],[Unit Price]] - Table2[[#This Row],[Cost per Unit]]) * Table2[[#This Row],[Units Sold]]</f>
        <v>1023</v>
      </c>
    </row>
    <row r="630" spans="1:11" ht="15.6" x14ac:dyDescent="0.3">
      <c r="A630" s="5" cm="1">
        <f t="array" ref="A630">1000 + ROW(630:630)</f>
        <v>1630</v>
      </c>
      <c r="B630" s="6">
        <f t="shared" ca="1" si="45"/>
        <v>45297</v>
      </c>
      <c r="C630" s="5" t="str" cm="1">
        <f t="array" aca="1" ref="C630" ca="1">INDEX({"S001","S002","S003","S004","S005"}, RANDBETWEEN(1,5))</f>
        <v>S001</v>
      </c>
      <c r="D630" s="5" t="str" cm="1">
        <f t="array" aca="1" ref="D630" ca="1">INDEX({"Mumbai","Delhi","Bangalore","Ahmedabad","Chennai"}, RANDBETWEEN(1,5))</f>
        <v>Mumbai</v>
      </c>
      <c r="E630" s="5" t="str" cm="1">
        <f t="array" aca="1" ref="E630" ca="1">INDEX({"Electronics","Groceries","Furniture","Clothing","Stationery"}, RANDBETWEEN(1,5))</f>
        <v>Groceries</v>
      </c>
      <c r="F630" s="5" t="str">
        <f t="shared" ca="1" si="46"/>
        <v>Table</v>
      </c>
      <c r="G630" s="8">
        <f t="shared" ca="1" si="47"/>
        <v>39</v>
      </c>
      <c r="H630" s="10">
        <f t="shared" ca="1" si="48"/>
        <v>250</v>
      </c>
      <c r="I630" s="10">
        <f t="shared" ca="1" si="49"/>
        <v>9750</v>
      </c>
      <c r="J630" s="10">
        <f ca="1">Table2[[#This Row],[Unit Price]] * RANDBETWEEN(70,90)/100</f>
        <v>202.5</v>
      </c>
      <c r="K630" s="12">
        <f ca="1">(Table2[[#This Row],[Unit Price]] - Table2[[#This Row],[Cost per Unit]]) * Table2[[#This Row],[Units Sold]]</f>
        <v>1852.5</v>
      </c>
    </row>
    <row r="631" spans="1:11" ht="15.6" x14ac:dyDescent="0.3">
      <c r="A631" s="5" cm="1">
        <f t="array" ref="A631">1000 + ROW(631:631)</f>
        <v>1631</v>
      </c>
      <c r="B631" s="6">
        <f t="shared" ca="1" si="45"/>
        <v>45307</v>
      </c>
      <c r="C631" s="5" t="str" cm="1">
        <f t="array" aca="1" ref="C631" ca="1">INDEX({"S001","S002","S003","S004","S005"}, RANDBETWEEN(1,5))</f>
        <v>S003</v>
      </c>
      <c r="D631" s="5" t="str" cm="1">
        <f t="array" aca="1" ref="D631" ca="1">INDEX({"Mumbai","Delhi","Bangalore","Ahmedabad","Chennai"}, RANDBETWEEN(1,5))</f>
        <v>Chennai</v>
      </c>
      <c r="E631" s="5" t="str" cm="1">
        <f t="array" aca="1" ref="E631" ca="1">INDEX({"Electronics","Groceries","Furniture","Clothing","Stationery"}, RANDBETWEEN(1,5))</f>
        <v>Groceries</v>
      </c>
      <c r="F631" s="5" t="str">
        <f t="shared" ca="1" si="46"/>
        <v>Notebook</v>
      </c>
      <c r="G631" s="8">
        <f t="shared" ca="1" si="47"/>
        <v>64</v>
      </c>
      <c r="H631" s="10">
        <f t="shared" ca="1" si="48"/>
        <v>300</v>
      </c>
      <c r="I631" s="10">
        <f t="shared" ca="1" si="49"/>
        <v>19200</v>
      </c>
      <c r="J631" s="10">
        <f ca="1">Table2[[#This Row],[Unit Price]] * RANDBETWEEN(70,90)/100</f>
        <v>237</v>
      </c>
      <c r="K631" s="12">
        <f ca="1">(Table2[[#This Row],[Unit Price]] - Table2[[#This Row],[Cost per Unit]]) * Table2[[#This Row],[Units Sold]]</f>
        <v>4032</v>
      </c>
    </row>
    <row r="632" spans="1:11" ht="15.6" x14ac:dyDescent="0.3">
      <c r="A632" s="5" cm="1">
        <f t="array" ref="A632">1000 + ROW(632:632)</f>
        <v>1632</v>
      </c>
      <c r="B632" s="6">
        <f t="shared" ca="1" si="45"/>
        <v>45378</v>
      </c>
      <c r="C632" s="5" t="str" cm="1">
        <f t="array" aca="1" ref="C632" ca="1">INDEX({"S001","S002","S003","S004","S005"}, RANDBETWEEN(1,5))</f>
        <v>S005</v>
      </c>
      <c r="D632" s="5" t="str" cm="1">
        <f t="array" aca="1" ref="D632" ca="1">INDEX({"Mumbai","Delhi","Bangalore","Ahmedabad","Chennai"}, RANDBETWEEN(1,5))</f>
        <v>Chennai</v>
      </c>
      <c r="E632" s="5" t="str" cm="1">
        <f t="array" aca="1" ref="E632" ca="1">INDEX({"Electronics","Groceries","Furniture","Clothing","Stationery"}, RANDBETWEEN(1,5))</f>
        <v>Stationery</v>
      </c>
      <c r="F632" s="5" t="str">
        <f t="shared" ca="1" si="46"/>
        <v>Shampoo</v>
      </c>
      <c r="G632" s="8">
        <f t="shared" ca="1" si="47"/>
        <v>34</v>
      </c>
      <c r="H632" s="10">
        <f t="shared" ca="1" si="48"/>
        <v>900</v>
      </c>
      <c r="I632" s="10">
        <f t="shared" ca="1" si="49"/>
        <v>30600</v>
      </c>
      <c r="J632" s="10">
        <f ca="1">Table2[[#This Row],[Unit Price]] * RANDBETWEEN(70,90)/100</f>
        <v>684</v>
      </c>
      <c r="K632" s="12">
        <f ca="1">(Table2[[#This Row],[Unit Price]] - Table2[[#This Row],[Cost per Unit]]) * Table2[[#This Row],[Units Sold]]</f>
        <v>7344</v>
      </c>
    </row>
    <row r="633" spans="1:11" ht="15.6" x14ac:dyDescent="0.3">
      <c r="A633" s="5" cm="1">
        <f t="array" ref="A633">1000 + ROW(633:633)</f>
        <v>1633</v>
      </c>
      <c r="B633" s="6">
        <f t="shared" ca="1" si="45"/>
        <v>45377</v>
      </c>
      <c r="C633" s="5" t="str" cm="1">
        <f t="array" aca="1" ref="C633" ca="1">INDEX({"S001","S002","S003","S004","S005"}, RANDBETWEEN(1,5))</f>
        <v>S002</v>
      </c>
      <c r="D633" s="5" t="str" cm="1">
        <f t="array" aca="1" ref="D633" ca="1">INDEX({"Mumbai","Delhi","Bangalore","Ahmedabad","Chennai"}, RANDBETWEEN(1,5))</f>
        <v>Chennai</v>
      </c>
      <c r="E633" s="5" t="str" cm="1">
        <f t="array" aca="1" ref="E633" ca="1">INDEX({"Electronics","Groceries","Furniture","Clothing","Stationery"}, RANDBETWEEN(1,5))</f>
        <v>Groceries</v>
      </c>
      <c r="F633" s="5" t="str">
        <f t="shared" ca="1" si="46"/>
        <v>T-shirt</v>
      </c>
      <c r="G633" s="8">
        <f t="shared" ca="1" si="47"/>
        <v>60</v>
      </c>
      <c r="H633" s="10">
        <f t="shared" ca="1" si="48"/>
        <v>700</v>
      </c>
      <c r="I633" s="10">
        <f t="shared" ca="1" si="49"/>
        <v>42000</v>
      </c>
      <c r="J633" s="10">
        <f ca="1">Table2[[#This Row],[Unit Price]] * RANDBETWEEN(70,90)/100</f>
        <v>518</v>
      </c>
      <c r="K633" s="12">
        <f ca="1">(Table2[[#This Row],[Unit Price]] - Table2[[#This Row],[Cost per Unit]]) * Table2[[#This Row],[Units Sold]]</f>
        <v>10920</v>
      </c>
    </row>
    <row r="634" spans="1:11" ht="15.6" x14ac:dyDescent="0.3">
      <c r="A634" s="5" cm="1">
        <f t="array" ref="A634">1000 + ROW(634:634)</f>
        <v>1634</v>
      </c>
      <c r="B634" s="6">
        <f t="shared" ca="1" si="45"/>
        <v>45380</v>
      </c>
      <c r="C634" s="5" t="str" cm="1">
        <f t="array" aca="1" ref="C634" ca="1">INDEX({"S001","S002","S003","S004","S005"}, RANDBETWEEN(1,5))</f>
        <v>S001</v>
      </c>
      <c r="D634" s="5" t="str" cm="1">
        <f t="array" aca="1" ref="D634" ca="1">INDEX({"Mumbai","Delhi","Bangalore","Ahmedabad","Chennai"}, RANDBETWEEN(1,5))</f>
        <v>Ahmedabad</v>
      </c>
      <c r="E634" s="5" t="str" cm="1">
        <f t="array" aca="1" ref="E634" ca="1">INDEX({"Electronics","Groceries","Furniture","Clothing","Stationery"}, RANDBETWEEN(1,5))</f>
        <v>Furniture</v>
      </c>
      <c r="F634" s="5" t="str">
        <f t="shared" ca="1" si="46"/>
        <v>Rice 5kg</v>
      </c>
      <c r="G634" s="8">
        <f t="shared" ca="1" si="47"/>
        <v>3</v>
      </c>
      <c r="H634" s="10">
        <f t="shared" ca="1" si="48"/>
        <v>1200</v>
      </c>
      <c r="I634" s="10">
        <f t="shared" ca="1" si="49"/>
        <v>3600</v>
      </c>
      <c r="J634" s="10">
        <f ca="1">Table2[[#This Row],[Unit Price]] * RANDBETWEEN(70,90)/100</f>
        <v>984</v>
      </c>
      <c r="K634" s="12">
        <f ca="1">(Table2[[#This Row],[Unit Price]] - Table2[[#This Row],[Cost per Unit]]) * Table2[[#This Row],[Units Sold]]</f>
        <v>648</v>
      </c>
    </row>
    <row r="635" spans="1:11" ht="15.6" x14ac:dyDescent="0.3">
      <c r="A635" s="5" cm="1">
        <f t="array" ref="A635">1000 + ROW(635:635)</f>
        <v>1635</v>
      </c>
      <c r="B635" s="6">
        <f t="shared" ca="1" si="45"/>
        <v>45373</v>
      </c>
      <c r="C635" s="5" t="str" cm="1">
        <f t="array" aca="1" ref="C635" ca="1">INDEX({"S001","S002","S003","S004","S005"}, RANDBETWEEN(1,5))</f>
        <v>S004</v>
      </c>
      <c r="D635" s="5" t="str" cm="1">
        <f t="array" aca="1" ref="D635" ca="1">INDEX({"Mumbai","Delhi","Bangalore","Ahmedabad","Chennai"}, RANDBETWEEN(1,5))</f>
        <v>Ahmedabad</v>
      </c>
      <c r="E635" s="5" t="str" cm="1">
        <f t="array" aca="1" ref="E635" ca="1">INDEX({"Electronics","Groceries","Furniture","Clothing","Stationery"}, RANDBETWEEN(1,5))</f>
        <v>Electronics</v>
      </c>
      <c r="F635" s="5" t="str">
        <f t="shared" ca="1" si="46"/>
        <v>Cooking Oil 1L</v>
      </c>
      <c r="G635" s="8">
        <f t="shared" ca="1" si="47"/>
        <v>23</v>
      </c>
      <c r="H635" s="10">
        <f t="shared" ca="1" si="48"/>
        <v>250</v>
      </c>
      <c r="I635" s="10">
        <f t="shared" ca="1" si="49"/>
        <v>5750</v>
      </c>
      <c r="J635" s="10">
        <f ca="1">Table2[[#This Row],[Unit Price]] * RANDBETWEEN(70,90)/100</f>
        <v>220</v>
      </c>
      <c r="K635" s="12">
        <f ca="1">(Table2[[#This Row],[Unit Price]] - Table2[[#This Row],[Cost per Unit]]) * Table2[[#This Row],[Units Sold]]</f>
        <v>690</v>
      </c>
    </row>
    <row r="636" spans="1:11" ht="15.6" x14ac:dyDescent="0.3">
      <c r="A636" s="5" cm="1">
        <f t="array" ref="A636">1000 + ROW(636:636)</f>
        <v>1636</v>
      </c>
      <c r="B636" s="6">
        <f t="shared" ca="1" si="45"/>
        <v>45292</v>
      </c>
      <c r="C636" s="5" t="str" cm="1">
        <f t="array" aca="1" ref="C636" ca="1">INDEX({"S001","S002","S003","S004","S005"}, RANDBETWEEN(1,5))</f>
        <v>S005</v>
      </c>
      <c r="D636" s="5" t="str" cm="1">
        <f t="array" aca="1" ref="D636" ca="1">INDEX({"Mumbai","Delhi","Bangalore","Ahmedabad","Chennai"}, RANDBETWEEN(1,5))</f>
        <v>Ahmedabad</v>
      </c>
      <c r="E636" s="5" t="str" cm="1">
        <f t="array" aca="1" ref="E636" ca="1">INDEX({"Electronics","Groceries","Furniture","Clothing","Stationery"}, RANDBETWEEN(1,5))</f>
        <v>Electronics</v>
      </c>
      <c r="F636" s="5" t="str">
        <f t="shared" ca="1" si="46"/>
        <v>Smartphone</v>
      </c>
      <c r="G636" s="8">
        <f t="shared" ca="1" si="47"/>
        <v>6</v>
      </c>
      <c r="H636" s="10">
        <f t="shared" ca="1" si="48"/>
        <v>30000</v>
      </c>
      <c r="I636" s="10">
        <f t="shared" ca="1" si="49"/>
        <v>180000</v>
      </c>
      <c r="J636" s="10">
        <f ca="1">Table2[[#This Row],[Unit Price]] * RANDBETWEEN(70,90)/100</f>
        <v>23400</v>
      </c>
      <c r="K636" s="12">
        <f ca="1">(Table2[[#This Row],[Unit Price]] - Table2[[#This Row],[Cost per Unit]]) * Table2[[#This Row],[Units Sold]]</f>
        <v>39600</v>
      </c>
    </row>
    <row r="637" spans="1:11" ht="15.6" x14ac:dyDescent="0.3">
      <c r="A637" s="5" cm="1">
        <f t="array" ref="A637">1000 + ROW(637:637)</f>
        <v>1637</v>
      </c>
      <c r="B637" s="6">
        <f t="shared" ca="1" si="45"/>
        <v>45312</v>
      </c>
      <c r="C637" s="5" t="str" cm="1">
        <f t="array" aca="1" ref="C637" ca="1">INDEX({"S001","S002","S003","S004","S005"}, RANDBETWEEN(1,5))</f>
        <v>S002</v>
      </c>
      <c r="D637" s="5" t="str" cm="1">
        <f t="array" aca="1" ref="D637" ca="1">INDEX({"Mumbai","Delhi","Bangalore","Ahmedabad","Chennai"}, RANDBETWEEN(1,5))</f>
        <v>Bangalore</v>
      </c>
      <c r="E637" s="5" t="str" cm="1">
        <f t="array" aca="1" ref="E637" ca="1">INDEX({"Electronics","Groceries","Furniture","Clothing","Stationery"}, RANDBETWEEN(1,5))</f>
        <v>Groceries</v>
      </c>
      <c r="F637" s="5" t="str">
        <f t="shared" ca="1" si="46"/>
        <v>Laptop</v>
      </c>
      <c r="G637" s="8">
        <f t="shared" ca="1" si="47"/>
        <v>1</v>
      </c>
      <c r="H637" s="10">
        <f t="shared" ca="1" si="48"/>
        <v>30000</v>
      </c>
      <c r="I637" s="10">
        <f t="shared" ca="1" si="49"/>
        <v>30000</v>
      </c>
      <c r="J637" s="10">
        <f ca="1">Table2[[#This Row],[Unit Price]] * RANDBETWEEN(70,90)/100</f>
        <v>25500</v>
      </c>
      <c r="K637" s="12">
        <f ca="1">(Table2[[#This Row],[Unit Price]] - Table2[[#This Row],[Cost per Unit]]) * Table2[[#This Row],[Units Sold]]</f>
        <v>4500</v>
      </c>
    </row>
    <row r="638" spans="1:11" ht="15.6" x14ac:dyDescent="0.3">
      <c r="A638" s="5" cm="1">
        <f t="array" ref="A638">1000 + ROW(638:638)</f>
        <v>1638</v>
      </c>
      <c r="B638" s="6">
        <f t="shared" ca="1" si="45"/>
        <v>45369</v>
      </c>
      <c r="C638" s="5" t="str" cm="1">
        <f t="array" aca="1" ref="C638" ca="1">INDEX({"S001","S002","S003","S004","S005"}, RANDBETWEEN(1,5))</f>
        <v>S003</v>
      </c>
      <c r="D638" s="5" t="str" cm="1">
        <f t="array" aca="1" ref="D638" ca="1">INDEX({"Mumbai","Delhi","Bangalore","Ahmedabad","Chennai"}, RANDBETWEEN(1,5))</f>
        <v>Ahmedabad</v>
      </c>
      <c r="E638" s="5" t="str" cm="1">
        <f t="array" aca="1" ref="E638" ca="1">INDEX({"Electronics","Groceries","Furniture","Clothing","Stationery"}, RANDBETWEEN(1,5))</f>
        <v>Furniture</v>
      </c>
      <c r="F638" s="5" t="str">
        <f t="shared" ca="1" si="46"/>
        <v>Laptop</v>
      </c>
      <c r="G638" s="8">
        <f t="shared" ca="1" si="47"/>
        <v>14</v>
      </c>
      <c r="H638" s="10">
        <f t="shared" ca="1" si="48"/>
        <v>50</v>
      </c>
      <c r="I638" s="10">
        <f t="shared" ca="1" si="49"/>
        <v>700</v>
      </c>
      <c r="J638" s="10">
        <f ca="1">Table2[[#This Row],[Unit Price]] * RANDBETWEEN(70,90)/100</f>
        <v>45</v>
      </c>
      <c r="K638" s="12">
        <f ca="1">(Table2[[#This Row],[Unit Price]] - Table2[[#This Row],[Cost per Unit]]) * Table2[[#This Row],[Units Sold]]</f>
        <v>70</v>
      </c>
    </row>
    <row r="639" spans="1:11" ht="15.6" x14ac:dyDescent="0.3">
      <c r="A639" s="5" cm="1">
        <f t="array" ref="A639">1000 + ROW(639:639)</f>
        <v>1639</v>
      </c>
      <c r="B639" s="6">
        <f t="shared" ca="1" si="45"/>
        <v>45329</v>
      </c>
      <c r="C639" s="5" t="str" cm="1">
        <f t="array" aca="1" ref="C639" ca="1">INDEX({"S001","S002","S003","S004","S005"}, RANDBETWEEN(1,5))</f>
        <v>S002</v>
      </c>
      <c r="D639" s="5" t="str" cm="1">
        <f t="array" aca="1" ref="D639" ca="1">INDEX({"Mumbai","Delhi","Bangalore","Ahmedabad","Chennai"}, RANDBETWEEN(1,5))</f>
        <v>Bangalore</v>
      </c>
      <c r="E639" s="5" t="str" cm="1">
        <f t="array" aca="1" ref="E639" ca="1">INDEX({"Electronics","Groceries","Furniture","Clothing","Stationery"}, RANDBETWEEN(1,5))</f>
        <v>Groceries</v>
      </c>
      <c r="F639" s="5" t="str">
        <f t="shared" ca="1" si="46"/>
        <v>Shampoo</v>
      </c>
      <c r="G639" s="8">
        <f t="shared" ca="1" si="47"/>
        <v>35</v>
      </c>
      <c r="H639" s="10">
        <f t="shared" ca="1" si="48"/>
        <v>900</v>
      </c>
      <c r="I639" s="10">
        <f t="shared" ca="1" si="49"/>
        <v>31500</v>
      </c>
      <c r="J639" s="10">
        <f ca="1">Table2[[#This Row],[Unit Price]] * RANDBETWEEN(70,90)/100</f>
        <v>774</v>
      </c>
      <c r="K639" s="12">
        <f ca="1">(Table2[[#This Row],[Unit Price]] - Table2[[#This Row],[Cost per Unit]]) * Table2[[#This Row],[Units Sold]]</f>
        <v>4410</v>
      </c>
    </row>
    <row r="640" spans="1:11" ht="15.6" x14ac:dyDescent="0.3">
      <c r="A640" s="5" cm="1">
        <f t="array" ref="A640">1000 + ROW(640:640)</f>
        <v>1640</v>
      </c>
      <c r="B640" s="6">
        <f t="shared" ca="1" si="45"/>
        <v>45313</v>
      </c>
      <c r="C640" s="5" t="str" cm="1">
        <f t="array" aca="1" ref="C640" ca="1">INDEX({"S001","S002","S003","S004","S005"}, RANDBETWEEN(1,5))</f>
        <v>S001</v>
      </c>
      <c r="D640" s="5" t="str" cm="1">
        <f t="array" aca="1" ref="D640" ca="1">INDEX({"Mumbai","Delhi","Bangalore","Ahmedabad","Chennai"}, RANDBETWEEN(1,5))</f>
        <v>Ahmedabad</v>
      </c>
      <c r="E640" s="5" t="str" cm="1">
        <f t="array" aca="1" ref="E640" ca="1">INDEX({"Electronics","Groceries","Furniture","Clothing","Stationery"}, RANDBETWEEN(1,5))</f>
        <v>Groceries</v>
      </c>
      <c r="F640" s="5" t="str">
        <f t="shared" ca="1" si="46"/>
        <v>Rice 5kg</v>
      </c>
      <c r="G640" s="8">
        <f t="shared" ca="1" si="47"/>
        <v>34</v>
      </c>
      <c r="H640" s="10">
        <f t="shared" ca="1" si="48"/>
        <v>150</v>
      </c>
      <c r="I640" s="10">
        <f t="shared" ca="1" si="49"/>
        <v>5100</v>
      </c>
      <c r="J640" s="10">
        <f ca="1">Table2[[#This Row],[Unit Price]] * RANDBETWEEN(70,90)/100</f>
        <v>123</v>
      </c>
      <c r="K640" s="12">
        <f ca="1">(Table2[[#This Row],[Unit Price]] - Table2[[#This Row],[Cost per Unit]]) * Table2[[#This Row],[Units Sold]]</f>
        <v>918</v>
      </c>
    </row>
    <row r="641" spans="1:11" ht="15.6" x14ac:dyDescent="0.3">
      <c r="A641" s="5" cm="1">
        <f t="array" ref="A641">1000 + ROW(641:641)</f>
        <v>1641</v>
      </c>
      <c r="B641" s="6">
        <f t="shared" ca="1" si="45"/>
        <v>45336</v>
      </c>
      <c r="C641" s="5" t="str" cm="1">
        <f t="array" aca="1" ref="C641" ca="1">INDEX({"S001","S002","S003","S004","S005"}, RANDBETWEEN(1,5))</f>
        <v>S005</v>
      </c>
      <c r="D641" s="5" t="str" cm="1">
        <f t="array" aca="1" ref="D641" ca="1">INDEX({"Mumbai","Delhi","Bangalore","Ahmedabad","Chennai"}, RANDBETWEEN(1,5))</f>
        <v>Mumbai</v>
      </c>
      <c r="E641" s="5" t="str" cm="1">
        <f t="array" aca="1" ref="E641" ca="1">INDEX({"Electronics","Groceries","Furniture","Clothing","Stationery"}, RANDBETWEEN(1,5))</f>
        <v>Electronics</v>
      </c>
      <c r="F641" s="5" t="str">
        <f t="shared" ca="1" si="46"/>
        <v>T-shirt</v>
      </c>
      <c r="G641" s="8">
        <f t="shared" ca="1" si="47"/>
        <v>75</v>
      </c>
      <c r="H641" s="10">
        <f t="shared" ca="1" si="48"/>
        <v>1200</v>
      </c>
      <c r="I641" s="10">
        <f t="shared" ca="1" si="49"/>
        <v>90000</v>
      </c>
      <c r="J641" s="10">
        <f ca="1">Table2[[#This Row],[Unit Price]] * RANDBETWEEN(70,90)/100</f>
        <v>888</v>
      </c>
      <c r="K641" s="12">
        <f ca="1">(Table2[[#This Row],[Unit Price]] - Table2[[#This Row],[Cost per Unit]]) * Table2[[#This Row],[Units Sold]]</f>
        <v>23400</v>
      </c>
    </row>
    <row r="642" spans="1:11" ht="15.6" x14ac:dyDescent="0.3">
      <c r="A642" s="5" cm="1">
        <f t="array" ref="A642">1000 + ROW(642:642)</f>
        <v>1642</v>
      </c>
      <c r="B642" s="6">
        <f t="shared" ref="B642:B649" ca="1" si="50">RANDBETWEEN(DATE(2024,1,1), DATE(2024,3,31))</f>
        <v>45343</v>
      </c>
      <c r="C642" s="5" t="str" cm="1">
        <f t="array" aca="1" ref="C642" ca="1">INDEX({"S001","S002","S003","S004","S005"}, RANDBETWEEN(1,5))</f>
        <v>S001</v>
      </c>
      <c r="D642" s="5" t="str" cm="1">
        <f t="array" aca="1" ref="D642" ca="1">INDEX({"Mumbai","Delhi","Bangalore","Ahmedabad","Chennai"}, RANDBETWEEN(1,5))</f>
        <v>Delhi</v>
      </c>
      <c r="E642" s="5" t="str" cm="1">
        <f t="array" aca="1" ref="E642" ca="1">INDEX({"Electronics","Groceries","Furniture","Clothing","Stationery"}, RANDBETWEEN(1,5))</f>
        <v>Furniture</v>
      </c>
      <c r="F642" s="5" t="str">
        <f t="shared" ref="F642:F649" ca="1" si="51">CHOOSE(RANDBETWEEN(1,10),
 "Smartphone","Laptop","Rice 5kg","Cooking Oil 1L",
 "Office Chair","Table","T-shirt","Notebook",
 "Desk Lamp","Shampoo")</f>
        <v>Office Chair</v>
      </c>
      <c r="G642" s="8">
        <f t="shared" ref="G642:G649" ca="1" si="52">RANDBETWEEN(1,100)</f>
        <v>18</v>
      </c>
      <c r="H642" s="10">
        <f t="shared" ref="H642:H649" ca="1" si="53">CHOOSE(RANDBETWEEN(1,10), 15000, 30000, 250, 500, 1200, 700, 300, 50, 900, 150)</f>
        <v>700</v>
      </c>
      <c r="I642" s="10">
        <f t="shared" ref="I642:I649" ca="1" si="54">G642 * H642</f>
        <v>12600</v>
      </c>
      <c r="J642" s="10">
        <f ca="1">Table2[[#This Row],[Unit Price]] * RANDBETWEEN(70,90)/100</f>
        <v>616</v>
      </c>
      <c r="K642" s="12">
        <f ca="1">(Table2[[#This Row],[Unit Price]] - Table2[[#This Row],[Cost per Unit]]) * Table2[[#This Row],[Units Sold]]</f>
        <v>1512</v>
      </c>
    </row>
    <row r="643" spans="1:11" ht="15.6" x14ac:dyDescent="0.3">
      <c r="A643" s="5" cm="1">
        <f t="array" ref="A643">1000 + ROW(643:643)</f>
        <v>1643</v>
      </c>
      <c r="B643" s="6">
        <f t="shared" ca="1" si="50"/>
        <v>45331</v>
      </c>
      <c r="C643" s="5" t="str" cm="1">
        <f t="array" aca="1" ref="C643" ca="1">INDEX({"S001","S002","S003","S004","S005"}, RANDBETWEEN(1,5))</f>
        <v>S002</v>
      </c>
      <c r="D643" s="5" t="str" cm="1">
        <f t="array" aca="1" ref="D643" ca="1">INDEX({"Mumbai","Delhi","Bangalore","Ahmedabad","Chennai"}, RANDBETWEEN(1,5))</f>
        <v>Delhi</v>
      </c>
      <c r="E643" s="5" t="str" cm="1">
        <f t="array" aca="1" ref="E643" ca="1">INDEX({"Electronics","Groceries","Furniture","Clothing","Stationery"}, RANDBETWEEN(1,5))</f>
        <v>Electronics</v>
      </c>
      <c r="F643" s="5" t="str">
        <f t="shared" ca="1" si="51"/>
        <v>Cooking Oil 1L</v>
      </c>
      <c r="G643" s="8">
        <f t="shared" ca="1" si="52"/>
        <v>64</v>
      </c>
      <c r="H643" s="10">
        <f t="shared" ca="1" si="53"/>
        <v>700</v>
      </c>
      <c r="I643" s="10">
        <f t="shared" ca="1" si="54"/>
        <v>44800</v>
      </c>
      <c r="J643" s="10">
        <f ca="1">Table2[[#This Row],[Unit Price]] * RANDBETWEEN(70,90)/100</f>
        <v>581</v>
      </c>
      <c r="K643" s="12">
        <f ca="1">(Table2[[#This Row],[Unit Price]] - Table2[[#This Row],[Cost per Unit]]) * Table2[[#This Row],[Units Sold]]</f>
        <v>7616</v>
      </c>
    </row>
    <row r="644" spans="1:11" ht="15.6" x14ac:dyDescent="0.3">
      <c r="A644" s="5" cm="1">
        <f t="array" ref="A644">1000 + ROW(644:644)</f>
        <v>1644</v>
      </c>
      <c r="B644" s="6">
        <f t="shared" ca="1" si="50"/>
        <v>45378</v>
      </c>
      <c r="C644" s="5" t="str" cm="1">
        <f t="array" aca="1" ref="C644" ca="1">INDEX({"S001","S002","S003","S004","S005"}, RANDBETWEEN(1,5))</f>
        <v>S003</v>
      </c>
      <c r="D644" s="5" t="str" cm="1">
        <f t="array" aca="1" ref="D644" ca="1">INDEX({"Mumbai","Delhi","Bangalore","Ahmedabad","Chennai"}, RANDBETWEEN(1,5))</f>
        <v>Bangalore</v>
      </c>
      <c r="E644" s="5" t="str" cm="1">
        <f t="array" aca="1" ref="E644" ca="1">INDEX({"Electronics","Groceries","Furniture","Clothing","Stationery"}, RANDBETWEEN(1,5))</f>
        <v>Stationery</v>
      </c>
      <c r="F644" s="5" t="str">
        <f t="shared" ca="1" si="51"/>
        <v>Rice 5kg</v>
      </c>
      <c r="G644" s="8">
        <f t="shared" ca="1" si="52"/>
        <v>20</v>
      </c>
      <c r="H644" s="10">
        <f t="shared" ca="1" si="53"/>
        <v>250</v>
      </c>
      <c r="I644" s="10">
        <f t="shared" ca="1" si="54"/>
        <v>5000</v>
      </c>
      <c r="J644" s="10">
        <f ca="1">Table2[[#This Row],[Unit Price]] * RANDBETWEEN(70,90)/100</f>
        <v>202.5</v>
      </c>
      <c r="K644" s="12">
        <f ca="1">(Table2[[#This Row],[Unit Price]] - Table2[[#This Row],[Cost per Unit]]) * Table2[[#This Row],[Units Sold]]</f>
        <v>950</v>
      </c>
    </row>
    <row r="645" spans="1:11" ht="15.6" x14ac:dyDescent="0.3">
      <c r="A645" s="5" cm="1">
        <f t="array" ref="A645">1000 + ROW(645:645)</f>
        <v>1645</v>
      </c>
      <c r="B645" s="6">
        <f t="shared" ca="1" si="50"/>
        <v>45372</v>
      </c>
      <c r="C645" s="5" t="str" cm="1">
        <f t="array" aca="1" ref="C645" ca="1">INDEX({"S001","S002","S003","S004","S005"}, RANDBETWEEN(1,5))</f>
        <v>S003</v>
      </c>
      <c r="D645" s="5" t="str" cm="1">
        <f t="array" aca="1" ref="D645" ca="1">INDEX({"Mumbai","Delhi","Bangalore","Ahmedabad","Chennai"}, RANDBETWEEN(1,5))</f>
        <v>Ahmedabad</v>
      </c>
      <c r="E645" s="5" t="str" cm="1">
        <f t="array" aca="1" ref="E645" ca="1">INDEX({"Electronics","Groceries","Furniture","Clothing","Stationery"}, RANDBETWEEN(1,5))</f>
        <v>Stationery</v>
      </c>
      <c r="F645" s="5" t="str">
        <f t="shared" ca="1" si="51"/>
        <v>T-shirt</v>
      </c>
      <c r="G645" s="8">
        <f t="shared" ca="1" si="52"/>
        <v>18</v>
      </c>
      <c r="H645" s="10">
        <f t="shared" ca="1" si="53"/>
        <v>300</v>
      </c>
      <c r="I645" s="10">
        <f t="shared" ca="1" si="54"/>
        <v>5400</v>
      </c>
      <c r="J645" s="10">
        <f ca="1">Table2[[#This Row],[Unit Price]] * RANDBETWEEN(70,90)/100</f>
        <v>225</v>
      </c>
      <c r="K645" s="12">
        <f ca="1">(Table2[[#This Row],[Unit Price]] - Table2[[#This Row],[Cost per Unit]]) * Table2[[#This Row],[Units Sold]]</f>
        <v>1350</v>
      </c>
    </row>
    <row r="646" spans="1:11" ht="15.6" x14ac:dyDescent="0.3">
      <c r="A646" s="5" cm="1">
        <f t="array" ref="A646">1000 + ROW(646:646)</f>
        <v>1646</v>
      </c>
      <c r="B646" s="6">
        <f t="shared" ca="1" si="50"/>
        <v>45361</v>
      </c>
      <c r="C646" s="5" t="str" cm="1">
        <f t="array" aca="1" ref="C646" ca="1">INDEX({"S001","S002","S003","S004","S005"}, RANDBETWEEN(1,5))</f>
        <v>S004</v>
      </c>
      <c r="D646" s="5" t="str" cm="1">
        <f t="array" aca="1" ref="D646" ca="1">INDEX({"Mumbai","Delhi","Bangalore","Ahmedabad","Chennai"}, RANDBETWEEN(1,5))</f>
        <v>Bangalore</v>
      </c>
      <c r="E646" s="5" t="str" cm="1">
        <f t="array" aca="1" ref="E646" ca="1">INDEX({"Electronics","Groceries","Furniture","Clothing","Stationery"}, RANDBETWEEN(1,5))</f>
        <v>Groceries</v>
      </c>
      <c r="F646" s="5" t="str">
        <f t="shared" ca="1" si="51"/>
        <v>Rice 5kg</v>
      </c>
      <c r="G646" s="8">
        <f t="shared" ca="1" si="52"/>
        <v>27</v>
      </c>
      <c r="H646" s="10">
        <f t="shared" ca="1" si="53"/>
        <v>30000</v>
      </c>
      <c r="I646" s="10">
        <f t="shared" ca="1" si="54"/>
        <v>810000</v>
      </c>
      <c r="J646" s="10">
        <f ca="1">Table2[[#This Row],[Unit Price]] * RANDBETWEEN(70,90)/100</f>
        <v>25800</v>
      </c>
      <c r="K646" s="12">
        <f ca="1">(Table2[[#This Row],[Unit Price]] - Table2[[#This Row],[Cost per Unit]]) * Table2[[#This Row],[Units Sold]]</f>
        <v>113400</v>
      </c>
    </row>
    <row r="647" spans="1:11" ht="15.6" x14ac:dyDescent="0.3">
      <c r="A647" s="5" cm="1">
        <f t="array" ref="A647">1000 + ROW(647:647)</f>
        <v>1647</v>
      </c>
      <c r="B647" s="6">
        <f t="shared" ca="1" si="50"/>
        <v>45331</v>
      </c>
      <c r="C647" s="5" t="str" cm="1">
        <f t="array" aca="1" ref="C647" ca="1">INDEX({"S001","S002","S003","S004","S005"}, RANDBETWEEN(1,5))</f>
        <v>S001</v>
      </c>
      <c r="D647" s="5" t="str" cm="1">
        <f t="array" aca="1" ref="D647" ca="1">INDEX({"Mumbai","Delhi","Bangalore","Ahmedabad","Chennai"}, RANDBETWEEN(1,5))</f>
        <v>Mumbai</v>
      </c>
      <c r="E647" s="5" t="str" cm="1">
        <f t="array" aca="1" ref="E647" ca="1">INDEX({"Electronics","Groceries","Furniture","Clothing","Stationery"}, RANDBETWEEN(1,5))</f>
        <v>Electronics</v>
      </c>
      <c r="F647" s="5" t="str">
        <f t="shared" ca="1" si="51"/>
        <v>Laptop</v>
      </c>
      <c r="G647" s="8">
        <f t="shared" ca="1" si="52"/>
        <v>12</v>
      </c>
      <c r="H647" s="10">
        <f t="shared" ca="1" si="53"/>
        <v>300</v>
      </c>
      <c r="I647" s="10">
        <f t="shared" ca="1" si="54"/>
        <v>3600</v>
      </c>
      <c r="J647" s="10">
        <f ca="1">Table2[[#This Row],[Unit Price]] * RANDBETWEEN(70,90)/100</f>
        <v>255</v>
      </c>
      <c r="K647" s="12">
        <f ca="1">(Table2[[#This Row],[Unit Price]] - Table2[[#This Row],[Cost per Unit]]) * Table2[[#This Row],[Units Sold]]</f>
        <v>540</v>
      </c>
    </row>
    <row r="648" spans="1:11" ht="15.6" x14ac:dyDescent="0.3">
      <c r="A648" s="5" cm="1">
        <f t="array" ref="A648">1000 + ROW(648:648)</f>
        <v>1648</v>
      </c>
      <c r="B648" s="6">
        <f t="shared" ca="1" si="50"/>
        <v>45362</v>
      </c>
      <c r="C648" s="5" t="str" cm="1">
        <f t="array" aca="1" ref="C648" ca="1">INDEX({"S001","S002","S003","S004","S005"}, RANDBETWEEN(1,5))</f>
        <v>S002</v>
      </c>
      <c r="D648" s="5" t="str" cm="1">
        <f t="array" aca="1" ref="D648" ca="1">INDEX({"Mumbai","Delhi","Bangalore","Ahmedabad","Chennai"}, RANDBETWEEN(1,5))</f>
        <v>Bangalore</v>
      </c>
      <c r="E648" s="5" t="str" cm="1">
        <f t="array" aca="1" ref="E648" ca="1">INDEX({"Electronics","Groceries","Furniture","Clothing","Stationery"}, RANDBETWEEN(1,5))</f>
        <v>Groceries</v>
      </c>
      <c r="F648" s="5" t="str">
        <f t="shared" ca="1" si="51"/>
        <v>T-shirt</v>
      </c>
      <c r="G648" s="8">
        <f t="shared" ca="1" si="52"/>
        <v>91</v>
      </c>
      <c r="H648" s="10">
        <f t="shared" ca="1" si="53"/>
        <v>30000</v>
      </c>
      <c r="I648" s="10">
        <f t="shared" ca="1" si="54"/>
        <v>2730000</v>
      </c>
      <c r="J648" s="10">
        <f ca="1">Table2[[#This Row],[Unit Price]] * RANDBETWEEN(70,90)/100</f>
        <v>26100</v>
      </c>
      <c r="K648" s="12">
        <f ca="1">(Table2[[#This Row],[Unit Price]] - Table2[[#This Row],[Cost per Unit]]) * Table2[[#This Row],[Units Sold]]</f>
        <v>354900</v>
      </c>
    </row>
    <row r="649" spans="1:11" ht="15.6" x14ac:dyDescent="0.3">
      <c r="A649" s="5" cm="1">
        <f t="array" ref="A649">1000 + ROW(649:649)</f>
        <v>1649</v>
      </c>
      <c r="B649" s="6">
        <f t="shared" ca="1" si="50"/>
        <v>45334</v>
      </c>
      <c r="C649" s="5" t="str" cm="1">
        <f t="array" aca="1" ref="C649" ca="1">INDEX({"S001","S002","S003","S004","S005"}, RANDBETWEEN(1,5))</f>
        <v>S003</v>
      </c>
      <c r="D649" s="5" t="str" cm="1">
        <f t="array" aca="1" ref="D649" ca="1">INDEX({"Mumbai","Delhi","Bangalore","Ahmedabad","Chennai"}, RANDBETWEEN(1,5))</f>
        <v>Delhi</v>
      </c>
      <c r="E649" s="5" t="str" cm="1">
        <f t="array" aca="1" ref="E649" ca="1">INDEX({"Electronics","Groceries","Furniture","Clothing","Stationery"}, RANDBETWEEN(1,5))</f>
        <v>Groceries</v>
      </c>
      <c r="F649" s="5" t="str">
        <f t="shared" ca="1" si="51"/>
        <v>Notebook</v>
      </c>
      <c r="G649" s="8">
        <f t="shared" ca="1" si="52"/>
        <v>60</v>
      </c>
      <c r="H649" s="10">
        <f t="shared" ca="1" si="53"/>
        <v>300</v>
      </c>
      <c r="I649" s="10">
        <f t="shared" ca="1" si="54"/>
        <v>18000</v>
      </c>
      <c r="J649" s="10">
        <f ca="1">Table2[[#This Row],[Unit Price]] * RANDBETWEEN(70,90)/100</f>
        <v>258</v>
      </c>
      <c r="K649" s="12">
        <f ca="1">(Table2[[#This Row],[Unit Price]] - Table2[[#This Row],[Cost per Unit]]) * Table2[[#This Row],[Units Sold]]</f>
        <v>2520</v>
      </c>
    </row>
  </sheetData>
  <phoneticPr fontId="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6250C-676B-408D-85EF-E7ED30356A8E}">
  <dimension ref="A1:B9"/>
  <sheetViews>
    <sheetView workbookViewId="0">
      <selection activeCell="E3" sqref="E3"/>
    </sheetView>
  </sheetViews>
  <sheetFormatPr defaultRowHeight="14.4" x14ac:dyDescent="0.3"/>
  <cols>
    <col min="1" max="1" width="28.109375" customWidth="1"/>
    <col min="2" max="2" width="31" customWidth="1"/>
  </cols>
  <sheetData>
    <row r="1" spans="1:2" ht="31.2" x14ac:dyDescent="0.3">
      <c r="A1" s="4" t="s">
        <v>22</v>
      </c>
      <c r="B1" s="4" t="s">
        <v>5</v>
      </c>
    </row>
    <row r="2" spans="1:2" ht="31.2" x14ac:dyDescent="0.3">
      <c r="A2" s="7" t="s">
        <v>13</v>
      </c>
      <c r="B2" s="7" t="s">
        <v>14</v>
      </c>
    </row>
    <row r="3" spans="1:2" ht="31.2" x14ac:dyDescent="0.3">
      <c r="A3" s="7" t="s">
        <v>13</v>
      </c>
      <c r="B3" s="7" t="s">
        <v>23</v>
      </c>
    </row>
    <row r="4" spans="1:2" ht="31.2" x14ac:dyDescent="0.3">
      <c r="A4" s="7" t="s">
        <v>17</v>
      </c>
      <c r="B4" s="7" t="s">
        <v>18</v>
      </c>
    </row>
    <row r="5" spans="1:2" ht="31.2" x14ac:dyDescent="0.3">
      <c r="A5" s="7" t="s">
        <v>17</v>
      </c>
      <c r="B5" s="7" t="s">
        <v>24</v>
      </c>
    </row>
    <row r="6" spans="1:2" ht="31.2" x14ac:dyDescent="0.3">
      <c r="A6" s="7" t="s">
        <v>25</v>
      </c>
      <c r="B6" s="7" t="s">
        <v>26</v>
      </c>
    </row>
    <row r="7" spans="1:2" ht="31.2" x14ac:dyDescent="0.3">
      <c r="A7" s="7" t="s">
        <v>25</v>
      </c>
      <c r="B7" s="7" t="s">
        <v>27</v>
      </c>
    </row>
    <row r="8" spans="1:2" ht="15.6" x14ac:dyDescent="0.3">
      <c r="A8" s="7" t="s">
        <v>28</v>
      </c>
      <c r="B8" s="7" t="s">
        <v>29</v>
      </c>
    </row>
    <row r="9" spans="1:2" ht="31.2" x14ac:dyDescent="0.3">
      <c r="A9" s="7" t="s">
        <v>30</v>
      </c>
      <c r="B9" s="7" t="s">
        <v>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6F62090-6328-4609-BEEB-521369692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1</vt:i4>
      </vt:variant>
      <vt:variant>
        <vt:lpstr>Named Ranges</vt:lpstr>
      </vt:variant>
      <vt:variant>
        <vt:i4>1</vt:i4>
      </vt:variant>
    </vt:vector>
  </HeadingPairs>
  <TitlesOfParts>
    <vt:vector size="13" baseType="lpstr">
      <vt:lpstr>Dashboard</vt:lpstr>
      <vt:lpstr>Total Sales by Product Category</vt:lpstr>
      <vt:lpstr>TOTAL SALES &amp; PROFIT BY CITY</vt:lpstr>
      <vt:lpstr>MONT. SALES BY PRODUCT CATEGOR </vt:lpstr>
      <vt:lpstr>TOP 5 SELLING PRODUCT</vt:lpstr>
      <vt:lpstr>STORE-WISE</vt:lpstr>
      <vt:lpstr>MT1</vt:lpstr>
      <vt:lpstr>Sheet9</vt:lpstr>
      <vt:lpstr>Sheet10</vt:lpstr>
      <vt:lpstr>Sheet1</vt:lpstr>
      <vt:lpstr>Sheet2</vt:lpstr>
      <vt:lpstr>Chart1</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Roshan Patel</dc:creator>
  <cp:lastModifiedBy>Roshan Patel</cp:lastModifiedBy>
  <cp:lastPrinted>2026-01-08T14:30:12Z</cp:lastPrinted>
  <dcterms:created xsi:type="dcterms:W3CDTF">2025-06-15T14:53:25Z</dcterms:created>
  <dcterms:modified xsi:type="dcterms:W3CDTF">2026-01-08T15:01:41Z</dcterms:modified>
</cp:coreProperties>
</file>